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usuario/Documents/Pruena tecnica/"/>
    </mc:Choice>
  </mc:AlternateContent>
  <xr:revisionPtr revIDLastSave="0" documentId="8_{EE71A89A-6329-8E4B-BBAF-FC9FC7805013}" xr6:coauthVersionLast="47" xr6:coauthVersionMax="47" xr10:uidLastSave="{00000000-0000-0000-0000-000000000000}"/>
  <bookViews>
    <workbookView xWindow="0" yWindow="500" windowWidth="28800" windowHeight="17500" activeTab="1" xr2:uid="{4047F92F-8BCF-47E8-B1FC-DCA96C6E8EEB}"/>
  </bookViews>
  <sheets>
    <sheet name="NMCD_Entidad" sheetId="1" r:id="rId1"/>
    <sheet name="NMCD_DetalleCampos" sheetId="2" r:id="rId2"/>
    <sheet name="Afiliados" sheetId="11" r:id="rId3"/>
    <sheet name="F0005(Clasificacion cuentas)" sheetId="22" state="hidden" r:id="rId4"/>
  </sheets>
  <definedNames>
    <definedName name="_xlnm._FilterDatabase" localSheetId="2" hidden="1">Afiliados!$A$1:$BG$201</definedName>
    <definedName name="_xlnm._FilterDatabase" localSheetId="3" hidden="1">'F0005(Clasificacion cuentas)'!$A$1:$L$35</definedName>
    <definedName name="_xlnm._FilterDatabase" localSheetId="1" hidden="1">NMCD_DetalleCampos!$A$1:$Y$19</definedName>
    <definedName name="_xlnm._FilterDatabase" localSheetId="0" hidden="1">NMCD_Entidad!$A$1:$T$2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R7" i="2"/>
  <c r="O7" i="2"/>
  <c r="M18" i="2"/>
  <c r="P18" i="2" s="1"/>
  <c r="M16" i="2"/>
  <c r="P16" i="2" s="1"/>
  <c r="M17" i="2"/>
  <c r="P17" i="2" s="1"/>
  <c r="M12" i="2"/>
  <c r="S12" i="2" s="1"/>
  <c r="M13" i="2"/>
  <c r="S13" i="2" s="1"/>
  <c r="M14" i="2"/>
  <c r="S14" i="2" s="1"/>
  <c r="M11" i="2"/>
  <c r="S11" i="2" s="1"/>
  <c r="M10" i="2"/>
  <c r="P10" i="2" s="1"/>
  <c r="M6" i="2"/>
  <c r="S6" i="2" s="1"/>
  <c r="M7" i="2"/>
  <c r="P7" i="2" s="1"/>
  <c r="M8" i="2"/>
  <c r="P8" i="2" s="1"/>
  <c r="M2" i="2"/>
  <c r="S2" i="2" s="1"/>
  <c r="M3" i="2"/>
  <c r="S3" i="2" s="1"/>
  <c r="M4" i="2"/>
  <c r="S4" i="2" s="1"/>
  <c r="M5" i="2"/>
  <c r="S5" i="2" s="1"/>
  <c r="L19" i="2"/>
  <c r="R19" i="2" s="1"/>
  <c r="L15" i="2"/>
  <c r="R15" i="2" s="1"/>
  <c r="L16" i="2"/>
  <c r="O16" i="2" s="1"/>
  <c r="L17" i="2"/>
  <c r="O17" i="2" s="1"/>
  <c r="L18" i="2"/>
  <c r="O18" i="2" s="1"/>
  <c r="L11" i="2"/>
  <c r="R11" i="2" s="1"/>
  <c r="L12" i="2"/>
  <c r="R12" i="2" s="1"/>
  <c r="L13" i="2"/>
  <c r="R13" i="2" s="1"/>
  <c r="L14" i="2"/>
  <c r="R14" i="2" s="1"/>
  <c r="L6" i="2"/>
  <c r="R6" i="2" s="1"/>
  <c r="L8" i="2"/>
  <c r="O8" i="2" s="1"/>
  <c r="L9" i="2"/>
  <c r="O9" i="2" s="1"/>
  <c r="L10" i="2"/>
  <c r="O10" i="2" s="1"/>
  <c r="L4" i="2"/>
  <c r="R4" i="2" s="1"/>
  <c r="L3" i="2"/>
  <c r="R3" i="2" s="1"/>
  <c r="L5" i="2"/>
  <c r="R5" i="2" s="1"/>
  <c r="L2" i="2"/>
  <c r="O2" i="2" s="1"/>
  <c r="K4" i="2"/>
  <c r="Q4" i="2" s="1"/>
  <c r="K2" i="2"/>
  <c r="Q2" i="2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33" i="11"/>
  <c r="BG34" i="11"/>
  <c r="BG35" i="11"/>
  <c r="BG36" i="11"/>
  <c r="BG37" i="11"/>
  <c r="BG38" i="11"/>
  <c r="BG39" i="11"/>
  <c r="BG40" i="11"/>
  <c r="BG41" i="11"/>
  <c r="BG42" i="11"/>
  <c r="BG43" i="11"/>
  <c r="BG44" i="11"/>
  <c r="BG45" i="11"/>
  <c r="BG46" i="11"/>
  <c r="BG47" i="11"/>
  <c r="BG48" i="11"/>
  <c r="BG49" i="11"/>
  <c r="BG50" i="11"/>
  <c r="BG51" i="11"/>
  <c r="BG52" i="11"/>
  <c r="BG53" i="11"/>
  <c r="BG54" i="11"/>
  <c r="BG55" i="11"/>
  <c r="BG56" i="11"/>
  <c r="BG57" i="11"/>
  <c r="BG58" i="11"/>
  <c r="BG59" i="11"/>
  <c r="BG60" i="11"/>
  <c r="BG61" i="11"/>
  <c r="BG62" i="11"/>
  <c r="BG63" i="11"/>
  <c r="BG64" i="11"/>
  <c r="BG65" i="11"/>
  <c r="BG66" i="11"/>
  <c r="BG67" i="11"/>
  <c r="BG68" i="11"/>
  <c r="BG69" i="11"/>
  <c r="BG70" i="11"/>
  <c r="BG71" i="11"/>
  <c r="BG72" i="11"/>
  <c r="BG73" i="11"/>
  <c r="BG74" i="11"/>
  <c r="BG75" i="11"/>
  <c r="BG76" i="11"/>
  <c r="BG77" i="11"/>
  <c r="BG78" i="11"/>
  <c r="BG79" i="11"/>
  <c r="BG80" i="11"/>
  <c r="BG81" i="11"/>
  <c r="BG82" i="11"/>
  <c r="BG83" i="11"/>
  <c r="BG84" i="11"/>
  <c r="BG85" i="11"/>
  <c r="BG86" i="11"/>
  <c r="BG87" i="11"/>
  <c r="BG88" i="11"/>
  <c r="BG89" i="11"/>
  <c r="BG90" i="11"/>
  <c r="BG91" i="11"/>
  <c r="BG92" i="11"/>
  <c r="BG93" i="11"/>
  <c r="BG94" i="11"/>
  <c r="BG95" i="11"/>
  <c r="BG96" i="11"/>
  <c r="BG97" i="11"/>
  <c r="BG98" i="11"/>
  <c r="BG99" i="11"/>
  <c r="BG100" i="11"/>
  <c r="BG101" i="11"/>
  <c r="BG102" i="11"/>
  <c r="BG103" i="11"/>
  <c r="BG104" i="11"/>
  <c r="BG105" i="11"/>
  <c r="BG106" i="11"/>
  <c r="BG107" i="11"/>
  <c r="BG108" i="11"/>
  <c r="BG109" i="11"/>
  <c r="BG110" i="11"/>
  <c r="BG111" i="11"/>
  <c r="BG112" i="11"/>
  <c r="BG113" i="11"/>
  <c r="BG114" i="11"/>
  <c r="BG115" i="11"/>
  <c r="BG116" i="11"/>
  <c r="BG117" i="11"/>
  <c r="BG118" i="11"/>
  <c r="BG119" i="11"/>
  <c r="BG120" i="11"/>
  <c r="BG121" i="11"/>
  <c r="BG122" i="11"/>
  <c r="BG123" i="11"/>
  <c r="BG124" i="11"/>
  <c r="BG125" i="11"/>
  <c r="BG126" i="11"/>
  <c r="BG127" i="11"/>
  <c r="BG128" i="11"/>
  <c r="BG129" i="11"/>
  <c r="BG130" i="11"/>
  <c r="BG131" i="11"/>
  <c r="BG132" i="11"/>
  <c r="BG133" i="11"/>
  <c r="BG134" i="11"/>
  <c r="BG135" i="11"/>
  <c r="BG136" i="11"/>
  <c r="BG137" i="11"/>
  <c r="BG138" i="11"/>
  <c r="BG139" i="11"/>
  <c r="BG140" i="11"/>
  <c r="BG141" i="11"/>
  <c r="BG142" i="11"/>
  <c r="BG143" i="11"/>
  <c r="BG144" i="11"/>
  <c r="BG145" i="11"/>
  <c r="BG146" i="11"/>
  <c r="BG147" i="11"/>
  <c r="BG148" i="11"/>
  <c r="BG149" i="11"/>
  <c r="BG150" i="11"/>
  <c r="BG151" i="11"/>
  <c r="BG152" i="11"/>
  <c r="BG153" i="11"/>
  <c r="BG154" i="11"/>
  <c r="BG155" i="11"/>
  <c r="BG156" i="11"/>
  <c r="BG157" i="11"/>
  <c r="BG158" i="11"/>
  <c r="BG159" i="11"/>
  <c r="BG160" i="11"/>
  <c r="BG161" i="11"/>
  <c r="BG162" i="11"/>
  <c r="BG163" i="11"/>
  <c r="BG164" i="11"/>
  <c r="BG165" i="11"/>
  <c r="BG166" i="11"/>
  <c r="BG167" i="11"/>
  <c r="BG168" i="11"/>
  <c r="BG169" i="11"/>
  <c r="BG170" i="11"/>
  <c r="BG171" i="11"/>
  <c r="BG172" i="11"/>
  <c r="BG173" i="11"/>
  <c r="BG174" i="11"/>
  <c r="BG175" i="11"/>
  <c r="BG176" i="11"/>
  <c r="BG177" i="11"/>
  <c r="BG178" i="11"/>
  <c r="BG179" i="11"/>
  <c r="BG180" i="11"/>
  <c r="BG181" i="11"/>
  <c r="BG182" i="11"/>
  <c r="BG183" i="11"/>
  <c r="BG184" i="11"/>
  <c r="BG185" i="11"/>
  <c r="BG186" i="11"/>
  <c r="BG187" i="11"/>
  <c r="BG188" i="11"/>
  <c r="BG189" i="11"/>
  <c r="BG190" i="11"/>
  <c r="BG191" i="11"/>
  <c r="BG192" i="11"/>
  <c r="BG193" i="11"/>
  <c r="BG194" i="11"/>
  <c r="BG195" i="11"/>
  <c r="BG196" i="11"/>
  <c r="BG197" i="11"/>
  <c r="BG198" i="11"/>
  <c r="BG199" i="11"/>
  <c r="BG200" i="11"/>
  <c r="BG201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33" i="11"/>
  <c r="BF34" i="11"/>
  <c r="BF35" i="11"/>
  <c r="BF36" i="11"/>
  <c r="BF37" i="11"/>
  <c r="BF38" i="11"/>
  <c r="BF39" i="11"/>
  <c r="BF40" i="11"/>
  <c r="BF41" i="11"/>
  <c r="BF42" i="11"/>
  <c r="BF43" i="11"/>
  <c r="BF44" i="11"/>
  <c r="BF45" i="11"/>
  <c r="BF46" i="11"/>
  <c r="BF47" i="11"/>
  <c r="BF48" i="11"/>
  <c r="BF49" i="11"/>
  <c r="BF50" i="11"/>
  <c r="BF51" i="11"/>
  <c r="BF52" i="11"/>
  <c r="BF53" i="11"/>
  <c r="BF54" i="11"/>
  <c r="BF55" i="11"/>
  <c r="BF56" i="11"/>
  <c r="BF57" i="11"/>
  <c r="BF58" i="11"/>
  <c r="BF59" i="11"/>
  <c r="BF60" i="11"/>
  <c r="BF61" i="11"/>
  <c r="BF62" i="11"/>
  <c r="BF63" i="11"/>
  <c r="BF64" i="11"/>
  <c r="BF65" i="11"/>
  <c r="BF66" i="11"/>
  <c r="BF67" i="11"/>
  <c r="BF68" i="11"/>
  <c r="BF69" i="11"/>
  <c r="BF70" i="11"/>
  <c r="BF71" i="11"/>
  <c r="BF72" i="11"/>
  <c r="BF73" i="11"/>
  <c r="BF74" i="11"/>
  <c r="BF75" i="11"/>
  <c r="BF76" i="11"/>
  <c r="BF77" i="11"/>
  <c r="BF78" i="11"/>
  <c r="BF79" i="11"/>
  <c r="BF80" i="11"/>
  <c r="BF81" i="11"/>
  <c r="BF82" i="11"/>
  <c r="BF83" i="11"/>
  <c r="BF84" i="11"/>
  <c r="BF85" i="11"/>
  <c r="BF86" i="11"/>
  <c r="BF87" i="11"/>
  <c r="BF88" i="11"/>
  <c r="BF89" i="11"/>
  <c r="BF90" i="11"/>
  <c r="BF91" i="11"/>
  <c r="BF92" i="11"/>
  <c r="BF93" i="11"/>
  <c r="BF94" i="11"/>
  <c r="BF95" i="11"/>
  <c r="BF96" i="11"/>
  <c r="BF97" i="11"/>
  <c r="BF98" i="11"/>
  <c r="BF99" i="11"/>
  <c r="BF100" i="11"/>
  <c r="BF101" i="11"/>
  <c r="BF102" i="11"/>
  <c r="BF103" i="11"/>
  <c r="BF104" i="11"/>
  <c r="BF105" i="11"/>
  <c r="BF106" i="11"/>
  <c r="BF107" i="11"/>
  <c r="BF108" i="11"/>
  <c r="BF109" i="11"/>
  <c r="BF110" i="11"/>
  <c r="BF111" i="11"/>
  <c r="BF112" i="11"/>
  <c r="BF113" i="11"/>
  <c r="BF114" i="11"/>
  <c r="BF115" i="11"/>
  <c r="BF116" i="11"/>
  <c r="BF117" i="11"/>
  <c r="BF118" i="11"/>
  <c r="BF119" i="11"/>
  <c r="BF120" i="11"/>
  <c r="BF121" i="11"/>
  <c r="BF122" i="11"/>
  <c r="BF123" i="11"/>
  <c r="BF124" i="11"/>
  <c r="BF125" i="11"/>
  <c r="BF126" i="11"/>
  <c r="BF127" i="11"/>
  <c r="BF128" i="11"/>
  <c r="BF129" i="11"/>
  <c r="BF130" i="11"/>
  <c r="BF131" i="11"/>
  <c r="BF132" i="11"/>
  <c r="BF133" i="11"/>
  <c r="BF134" i="11"/>
  <c r="BF135" i="11"/>
  <c r="BF136" i="11"/>
  <c r="BF137" i="11"/>
  <c r="BF138" i="11"/>
  <c r="BF139" i="11"/>
  <c r="BF140" i="11"/>
  <c r="BF141" i="11"/>
  <c r="BF142" i="11"/>
  <c r="BF143" i="11"/>
  <c r="BF144" i="11"/>
  <c r="BF145" i="11"/>
  <c r="BF146" i="11"/>
  <c r="BF147" i="11"/>
  <c r="BF148" i="11"/>
  <c r="BF149" i="11"/>
  <c r="BF150" i="11"/>
  <c r="BF151" i="11"/>
  <c r="BF152" i="11"/>
  <c r="BF153" i="11"/>
  <c r="BF154" i="11"/>
  <c r="BF155" i="11"/>
  <c r="BF156" i="11"/>
  <c r="BF157" i="11"/>
  <c r="BF158" i="11"/>
  <c r="BF159" i="11"/>
  <c r="BF160" i="11"/>
  <c r="BF161" i="11"/>
  <c r="BF162" i="11"/>
  <c r="BF163" i="11"/>
  <c r="BF164" i="11"/>
  <c r="BF165" i="11"/>
  <c r="BF166" i="11"/>
  <c r="BF167" i="11"/>
  <c r="BF168" i="11"/>
  <c r="BF169" i="11"/>
  <c r="BF170" i="11"/>
  <c r="BF171" i="11"/>
  <c r="BF172" i="11"/>
  <c r="BF173" i="11"/>
  <c r="BF174" i="11"/>
  <c r="BF175" i="11"/>
  <c r="BF176" i="11"/>
  <c r="BF177" i="11"/>
  <c r="BF178" i="11"/>
  <c r="BF179" i="11"/>
  <c r="BF180" i="11"/>
  <c r="BF181" i="11"/>
  <c r="BF182" i="11"/>
  <c r="BF183" i="11"/>
  <c r="BF184" i="11"/>
  <c r="BF185" i="11"/>
  <c r="BF186" i="11"/>
  <c r="BF187" i="11"/>
  <c r="BF188" i="11"/>
  <c r="BF189" i="11"/>
  <c r="BF190" i="11"/>
  <c r="BF191" i="11"/>
  <c r="BF192" i="11"/>
  <c r="BF193" i="11"/>
  <c r="BF194" i="11"/>
  <c r="BF195" i="11"/>
  <c r="BF196" i="11"/>
  <c r="BF197" i="11"/>
  <c r="BF198" i="11"/>
  <c r="BF199" i="11"/>
  <c r="BF200" i="11"/>
  <c r="BF201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47" i="11"/>
  <c r="BE48" i="11"/>
  <c r="BE49" i="11"/>
  <c r="BE50" i="11"/>
  <c r="BE51" i="11"/>
  <c r="BE52" i="11"/>
  <c r="BE53" i="11"/>
  <c r="BE54" i="11"/>
  <c r="BE55" i="11"/>
  <c r="BE56" i="11"/>
  <c r="BE57" i="11"/>
  <c r="BE58" i="11"/>
  <c r="BE59" i="11"/>
  <c r="BE60" i="11"/>
  <c r="BE61" i="11"/>
  <c r="BE62" i="11"/>
  <c r="BE63" i="11"/>
  <c r="BE64" i="11"/>
  <c r="BE65" i="11"/>
  <c r="BE66" i="11"/>
  <c r="BE67" i="11"/>
  <c r="BE68" i="11"/>
  <c r="BE69" i="11"/>
  <c r="BE70" i="11"/>
  <c r="BE71" i="11"/>
  <c r="BE72" i="11"/>
  <c r="BE73" i="11"/>
  <c r="BE74" i="11"/>
  <c r="BE75" i="11"/>
  <c r="BE76" i="11"/>
  <c r="BE77" i="11"/>
  <c r="BE78" i="11"/>
  <c r="BE79" i="11"/>
  <c r="BE80" i="11"/>
  <c r="BE81" i="11"/>
  <c r="BE82" i="11"/>
  <c r="BE83" i="11"/>
  <c r="BE84" i="11"/>
  <c r="BE85" i="11"/>
  <c r="BE86" i="11"/>
  <c r="BE87" i="11"/>
  <c r="BE88" i="11"/>
  <c r="BE89" i="11"/>
  <c r="BE90" i="11"/>
  <c r="BE91" i="11"/>
  <c r="BE92" i="11"/>
  <c r="BE93" i="11"/>
  <c r="BE94" i="11"/>
  <c r="BE95" i="11"/>
  <c r="BE96" i="11"/>
  <c r="BE97" i="11"/>
  <c r="BE98" i="11"/>
  <c r="BE99" i="11"/>
  <c r="BE100" i="11"/>
  <c r="BE101" i="11"/>
  <c r="BE102" i="11"/>
  <c r="BE103" i="11"/>
  <c r="BE104" i="11"/>
  <c r="BE105" i="11"/>
  <c r="BE106" i="11"/>
  <c r="BE107" i="11"/>
  <c r="BE108" i="11"/>
  <c r="BE109" i="11"/>
  <c r="BE110" i="11"/>
  <c r="BE111" i="11"/>
  <c r="BE112" i="11"/>
  <c r="BE113" i="11"/>
  <c r="BE114" i="11"/>
  <c r="BE115" i="11"/>
  <c r="BE116" i="11"/>
  <c r="BE117" i="11"/>
  <c r="BE118" i="11"/>
  <c r="BE119" i="11"/>
  <c r="BE120" i="11"/>
  <c r="BE121" i="11"/>
  <c r="BE122" i="11"/>
  <c r="BE123" i="11"/>
  <c r="BE124" i="11"/>
  <c r="BE125" i="11"/>
  <c r="BE126" i="11"/>
  <c r="BE127" i="11"/>
  <c r="BE128" i="11"/>
  <c r="BE129" i="11"/>
  <c r="BE130" i="11"/>
  <c r="BE131" i="11"/>
  <c r="BE132" i="11"/>
  <c r="BE133" i="11"/>
  <c r="BE134" i="11"/>
  <c r="BE135" i="11"/>
  <c r="BE136" i="11"/>
  <c r="BE137" i="11"/>
  <c r="BE138" i="11"/>
  <c r="BE139" i="11"/>
  <c r="BE140" i="11"/>
  <c r="BE141" i="11"/>
  <c r="BE142" i="11"/>
  <c r="BE143" i="11"/>
  <c r="BE144" i="11"/>
  <c r="BE145" i="11"/>
  <c r="BE146" i="11"/>
  <c r="BE147" i="11"/>
  <c r="BE148" i="11"/>
  <c r="BE149" i="11"/>
  <c r="BE150" i="11"/>
  <c r="BE151" i="11"/>
  <c r="BE152" i="11"/>
  <c r="BE153" i="11"/>
  <c r="BE154" i="11"/>
  <c r="BE155" i="11"/>
  <c r="BE156" i="11"/>
  <c r="BE157" i="11"/>
  <c r="BE158" i="11"/>
  <c r="BE159" i="11"/>
  <c r="BE160" i="11"/>
  <c r="BE161" i="11"/>
  <c r="BE162" i="11"/>
  <c r="BE163" i="11"/>
  <c r="BE164" i="11"/>
  <c r="BE165" i="11"/>
  <c r="BE166" i="11"/>
  <c r="BE167" i="11"/>
  <c r="BE168" i="11"/>
  <c r="BE169" i="11"/>
  <c r="BE170" i="11"/>
  <c r="BE171" i="11"/>
  <c r="BE172" i="11"/>
  <c r="BE173" i="11"/>
  <c r="BE174" i="11"/>
  <c r="BE175" i="11"/>
  <c r="BE176" i="11"/>
  <c r="BE177" i="11"/>
  <c r="BE178" i="11"/>
  <c r="BE179" i="11"/>
  <c r="BE180" i="11"/>
  <c r="BE181" i="11"/>
  <c r="BE182" i="11"/>
  <c r="BE183" i="11"/>
  <c r="BE184" i="11"/>
  <c r="BE185" i="11"/>
  <c r="BE186" i="11"/>
  <c r="BE187" i="11"/>
  <c r="BE188" i="11"/>
  <c r="BE189" i="11"/>
  <c r="BE190" i="11"/>
  <c r="BE191" i="11"/>
  <c r="BE192" i="11"/>
  <c r="BE193" i="11"/>
  <c r="BE194" i="11"/>
  <c r="BE195" i="11"/>
  <c r="BE196" i="11"/>
  <c r="BE197" i="11"/>
  <c r="BE198" i="11"/>
  <c r="BE199" i="11"/>
  <c r="BE200" i="11"/>
  <c r="BE201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33" i="11"/>
  <c r="BD34" i="11"/>
  <c r="BD35" i="11"/>
  <c r="BD36" i="11"/>
  <c r="BD37" i="11"/>
  <c r="BD38" i="11"/>
  <c r="BD39" i="11"/>
  <c r="BD40" i="11"/>
  <c r="BD41" i="11"/>
  <c r="BD42" i="11"/>
  <c r="BD43" i="11"/>
  <c r="BD44" i="11"/>
  <c r="BD45" i="11"/>
  <c r="BD46" i="11"/>
  <c r="BD47" i="11"/>
  <c r="BD48" i="11"/>
  <c r="BD49" i="11"/>
  <c r="BD50" i="11"/>
  <c r="BD51" i="11"/>
  <c r="BD52" i="11"/>
  <c r="BD53" i="11"/>
  <c r="BD54" i="11"/>
  <c r="BD55" i="11"/>
  <c r="BD56" i="11"/>
  <c r="BD57" i="11"/>
  <c r="BD58" i="11"/>
  <c r="BD59" i="11"/>
  <c r="BD60" i="11"/>
  <c r="BD61" i="11"/>
  <c r="BD62" i="11"/>
  <c r="BD63" i="11"/>
  <c r="BD64" i="11"/>
  <c r="BD65" i="11"/>
  <c r="BD66" i="11"/>
  <c r="BD67" i="11"/>
  <c r="BD68" i="11"/>
  <c r="BD69" i="11"/>
  <c r="BD70" i="11"/>
  <c r="BD71" i="11"/>
  <c r="BD72" i="11"/>
  <c r="BD73" i="11"/>
  <c r="BD74" i="11"/>
  <c r="BD75" i="11"/>
  <c r="BD76" i="11"/>
  <c r="BD77" i="11"/>
  <c r="BD78" i="11"/>
  <c r="BD79" i="11"/>
  <c r="BD80" i="11"/>
  <c r="BD81" i="11"/>
  <c r="BD82" i="11"/>
  <c r="BD83" i="11"/>
  <c r="BD84" i="11"/>
  <c r="BD85" i="11"/>
  <c r="BD86" i="11"/>
  <c r="BD87" i="11"/>
  <c r="BD88" i="11"/>
  <c r="BD89" i="11"/>
  <c r="BD90" i="11"/>
  <c r="BD91" i="11"/>
  <c r="BD92" i="11"/>
  <c r="BD93" i="11"/>
  <c r="BD94" i="11"/>
  <c r="BD95" i="11"/>
  <c r="BD96" i="11"/>
  <c r="BD97" i="11"/>
  <c r="BD98" i="11"/>
  <c r="BD99" i="11"/>
  <c r="BD100" i="11"/>
  <c r="BD101" i="11"/>
  <c r="BD102" i="11"/>
  <c r="BD103" i="11"/>
  <c r="BD104" i="11"/>
  <c r="BD105" i="11"/>
  <c r="BD106" i="11"/>
  <c r="BD107" i="11"/>
  <c r="BD108" i="11"/>
  <c r="BD109" i="11"/>
  <c r="BD110" i="11"/>
  <c r="BD111" i="11"/>
  <c r="BD112" i="11"/>
  <c r="BD113" i="11"/>
  <c r="BD114" i="11"/>
  <c r="BD115" i="11"/>
  <c r="BD116" i="11"/>
  <c r="BD117" i="11"/>
  <c r="BD118" i="11"/>
  <c r="BD119" i="11"/>
  <c r="BD120" i="11"/>
  <c r="BD121" i="11"/>
  <c r="BD122" i="11"/>
  <c r="BD123" i="11"/>
  <c r="BD124" i="11"/>
  <c r="BD125" i="11"/>
  <c r="BD126" i="11"/>
  <c r="BD127" i="11"/>
  <c r="BD128" i="11"/>
  <c r="BD129" i="11"/>
  <c r="BD130" i="11"/>
  <c r="BD131" i="11"/>
  <c r="BD132" i="11"/>
  <c r="BD133" i="11"/>
  <c r="BD134" i="11"/>
  <c r="BD135" i="11"/>
  <c r="BD136" i="11"/>
  <c r="BD137" i="11"/>
  <c r="BD138" i="11"/>
  <c r="BD139" i="11"/>
  <c r="BD140" i="11"/>
  <c r="BD141" i="11"/>
  <c r="BD142" i="11"/>
  <c r="BD143" i="11"/>
  <c r="BD144" i="11"/>
  <c r="BD145" i="11"/>
  <c r="BD146" i="11"/>
  <c r="BD147" i="11"/>
  <c r="BD148" i="11"/>
  <c r="BD149" i="11"/>
  <c r="BD150" i="11"/>
  <c r="BD151" i="11"/>
  <c r="BD152" i="11"/>
  <c r="BD153" i="11"/>
  <c r="BD154" i="11"/>
  <c r="BD155" i="11"/>
  <c r="BD156" i="11"/>
  <c r="BD157" i="11"/>
  <c r="BD158" i="11"/>
  <c r="BD159" i="11"/>
  <c r="BD160" i="11"/>
  <c r="BD161" i="11"/>
  <c r="BD162" i="11"/>
  <c r="BD163" i="11"/>
  <c r="BD164" i="11"/>
  <c r="BD165" i="11"/>
  <c r="BD166" i="11"/>
  <c r="BD167" i="11"/>
  <c r="BD168" i="11"/>
  <c r="BD169" i="11"/>
  <c r="BD170" i="11"/>
  <c r="BD171" i="11"/>
  <c r="BD172" i="11"/>
  <c r="BD173" i="11"/>
  <c r="BD174" i="11"/>
  <c r="BD175" i="11"/>
  <c r="BD176" i="11"/>
  <c r="BD177" i="11"/>
  <c r="BD178" i="11"/>
  <c r="BD179" i="11"/>
  <c r="BD180" i="11"/>
  <c r="BD181" i="11"/>
  <c r="BD182" i="11"/>
  <c r="BD183" i="11"/>
  <c r="BD184" i="11"/>
  <c r="BD185" i="11"/>
  <c r="BD186" i="11"/>
  <c r="BD187" i="11"/>
  <c r="BD188" i="11"/>
  <c r="BD189" i="11"/>
  <c r="BD190" i="11"/>
  <c r="BD191" i="11"/>
  <c r="BD192" i="11"/>
  <c r="BD193" i="11"/>
  <c r="BD194" i="11"/>
  <c r="BD195" i="11"/>
  <c r="BD196" i="11"/>
  <c r="BD197" i="11"/>
  <c r="BD198" i="11"/>
  <c r="BD199" i="11"/>
  <c r="BD200" i="11"/>
  <c r="BD201" i="11"/>
  <c r="BD2" i="11"/>
  <c r="BC173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C34" i="11"/>
  <c r="BC35" i="11"/>
  <c r="BC36" i="11"/>
  <c r="BC37" i="11"/>
  <c r="BC38" i="11"/>
  <c r="BC39" i="11"/>
  <c r="BC40" i="11"/>
  <c r="BC41" i="11"/>
  <c r="BC42" i="11"/>
  <c r="BC43" i="11"/>
  <c r="BC44" i="11"/>
  <c r="BC45" i="11"/>
  <c r="BC46" i="11"/>
  <c r="BC47" i="11"/>
  <c r="BC48" i="11"/>
  <c r="BC49" i="11"/>
  <c r="BC50" i="11"/>
  <c r="BC51" i="11"/>
  <c r="BC52" i="11"/>
  <c r="BC53" i="11"/>
  <c r="BC54" i="11"/>
  <c r="BC55" i="11"/>
  <c r="BC56" i="11"/>
  <c r="BC57" i="11"/>
  <c r="BC58" i="11"/>
  <c r="BC59" i="11"/>
  <c r="BC60" i="11"/>
  <c r="BC61" i="11"/>
  <c r="BC62" i="11"/>
  <c r="BC63" i="11"/>
  <c r="BC64" i="11"/>
  <c r="BC65" i="11"/>
  <c r="BC66" i="11"/>
  <c r="BC67" i="11"/>
  <c r="BC68" i="11"/>
  <c r="BC69" i="11"/>
  <c r="BC70" i="11"/>
  <c r="BC71" i="11"/>
  <c r="BC72" i="11"/>
  <c r="BC73" i="11"/>
  <c r="BC74" i="11"/>
  <c r="BC75" i="11"/>
  <c r="BC76" i="11"/>
  <c r="BC77" i="11"/>
  <c r="BC78" i="11"/>
  <c r="BC79" i="11"/>
  <c r="BC80" i="11"/>
  <c r="BC81" i="11"/>
  <c r="BC82" i="11"/>
  <c r="BC83" i="11"/>
  <c r="BC84" i="11"/>
  <c r="BC85" i="11"/>
  <c r="BC86" i="11"/>
  <c r="BC87" i="11"/>
  <c r="BC88" i="11"/>
  <c r="BC89" i="11"/>
  <c r="BC90" i="11"/>
  <c r="BC91" i="11"/>
  <c r="BC92" i="11"/>
  <c r="BC93" i="11"/>
  <c r="BC94" i="11"/>
  <c r="BC95" i="11"/>
  <c r="BC96" i="11"/>
  <c r="BC97" i="11"/>
  <c r="BC98" i="11"/>
  <c r="BC99" i="11"/>
  <c r="BC100" i="11"/>
  <c r="BC101" i="11"/>
  <c r="BC102" i="11"/>
  <c r="BC103" i="11"/>
  <c r="BC104" i="11"/>
  <c r="BC105" i="11"/>
  <c r="BC106" i="11"/>
  <c r="BC107" i="11"/>
  <c r="BC108" i="11"/>
  <c r="BC109" i="11"/>
  <c r="BC110" i="11"/>
  <c r="BC111" i="11"/>
  <c r="BC112" i="11"/>
  <c r="BC113" i="11"/>
  <c r="BC114" i="11"/>
  <c r="BC115" i="11"/>
  <c r="BC116" i="11"/>
  <c r="BC117" i="11"/>
  <c r="BC118" i="11"/>
  <c r="BC119" i="11"/>
  <c r="BC120" i="11"/>
  <c r="BC121" i="11"/>
  <c r="BC122" i="11"/>
  <c r="BC123" i="11"/>
  <c r="BC124" i="11"/>
  <c r="BC125" i="11"/>
  <c r="BC126" i="11"/>
  <c r="BC127" i="11"/>
  <c r="BC128" i="11"/>
  <c r="BC129" i="11"/>
  <c r="BC130" i="11"/>
  <c r="BC131" i="11"/>
  <c r="BC132" i="11"/>
  <c r="BC133" i="11"/>
  <c r="BC134" i="11"/>
  <c r="BC135" i="11"/>
  <c r="BC136" i="11"/>
  <c r="BC137" i="11"/>
  <c r="BC138" i="11"/>
  <c r="BC139" i="11"/>
  <c r="BC140" i="11"/>
  <c r="BC141" i="11"/>
  <c r="BC142" i="11"/>
  <c r="BC143" i="11"/>
  <c r="BC144" i="11"/>
  <c r="BC145" i="11"/>
  <c r="BC146" i="11"/>
  <c r="BC147" i="11"/>
  <c r="BC148" i="11"/>
  <c r="BC149" i="11"/>
  <c r="BC150" i="11"/>
  <c r="BC151" i="11"/>
  <c r="BC152" i="11"/>
  <c r="BC153" i="11"/>
  <c r="BC154" i="11"/>
  <c r="BC155" i="11"/>
  <c r="BC156" i="11"/>
  <c r="BC157" i="11"/>
  <c r="BC158" i="11"/>
  <c r="BC159" i="11"/>
  <c r="BC160" i="11"/>
  <c r="BC161" i="11"/>
  <c r="BC162" i="11"/>
  <c r="BC163" i="11"/>
  <c r="BC164" i="11"/>
  <c r="BC165" i="11"/>
  <c r="BC166" i="11"/>
  <c r="BC167" i="11"/>
  <c r="BC168" i="11"/>
  <c r="BC169" i="11"/>
  <c r="BC170" i="11"/>
  <c r="BC171" i="11"/>
  <c r="BC172" i="11"/>
  <c r="BC174" i="11"/>
  <c r="BC175" i="11"/>
  <c r="BC176" i="11"/>
  <c r="BC177" i="11"/>
  <c r="BC178" i="11"/>
  <c r="BC179" i="11"/>
  <c r="BC180" i="11"/>
  <c r="BC181" i="11"/>
  <c r="BC182" i="11"/>
  <c r="BC183" i="11"/>
  <c r="BC184" i="11"/>
  <c r="BC185" i="11"/>
  <c r="BC186" i="11"/>
  <c r="BC187" i="11"/>
  <c r="BC188" i="11"/>
  <c r="BC189" i="11"/>
  <c r="BC190" i="11"/>
  <c r="BC191" i="11"/>
  <c r="BC192" i="11"/>
  <c r="BC193" i="11"/>
  <c r="BC194" i="11"/>
  <c r="BC195" i="11"/>
  <c r="BC196" i="11"/>
  <c r="BC197" i="11"/>
  <c r="BC198" i="11"/>
  <c r="BC199" i="11"/>
  <c r="BC200" i="11"/>
  <c r="BC20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45" i="11"/>
  <c r="BB46" i="11"/>
  <c r="BB47" i="11"/>
  <c r="BB48" i="11"/>
  <c r="BB49" i="11"/>
  <c r="BB50" i="11"/>
  <c r="BB51" i="11"/>
  <c r="BB52" i="11"/>
  <c r="BB53" i="11"/>
  <c r="BB54" i="11"/>
  <c r="BB55" i="11"/>
  <c r="BB56" i="11"/>
  <c r="BB57" i="11"/>
  <c r="BB58" i="11"/>
  <c r="BB59" i="11"/>
  <c r="BB60" i="11"/>
  <c r="BB61" i="11"/>
  <c r="BB62" i="11"/>
  <c r="BB63" i="11"/>
  <c r="BB64" i="11"/>
  <c r="BB65" i="11"/>
  <c r="BB66" i="11"/>
  <c r="BB67" i="11"/>
  <c r="BB68" i="11"/>
  <c r="BB69" i="11"/>
  <c r="BB70" i="11"/>
  <c r="BB71" i="11"/>
  <c r="BB72" i="11"/>
  <c r="BB73" i="11"/>
  <c r="BB74" i="11"/>
  <c r="BB75" i="11"/>
  <c r="BB76" i="11"/>
  <c r="BB77" i="11"/>
  <c r="BB78" i="11"/>
  <c r="BB79" i="11"/>
  <c r="BB80" i="11"/>
  <c r="BB81" i="11"/>
  <c r="BB82" i="11"/>
  <c r="BB83" i="11"/>
  <c r="BB84" i="11"/>
  <c r="BB85" i="11"/>
  <c r="BB86" i="11"/>
  <c r="BB87" i="11"/>
  <c r="BB88" i="11"/>
  <c r="BB89" i="11"/>
  <c r="BB90" i="11"/>
  <c r="BB91" i="11"/>
  <c r="BB92" i="11"/>
  <c r="BB93" i="11"/>
  <c r="BB94" i="11"/>
  <c r="BB95" i="11"/>
  <c r="BB96" i="11"/>
  <c r="BB97" i="11"/>
  <c r="BB98" i="11"/>
  <c r="BB99" i="11"/>
  <c r="BB100" i="11"/>
  <c r="BB101" i="11"/>
  <c r="BB102" i="11"/>
  <c r="BB103" i="11"/>
  <c r="BB104" i="11"/>
  <c r="BB105" i="11"/>
  <c r="BB106" i="11"/>
  <c r="BB107" i="11"/>
  <c r="BB108" i="11"/>
  <c r="BB109" i="11"/>
  <c r="BB110" i="11"/>
  <c r="BB111" i="11"/>
  <c r="BB112" i="11"/>
  <c r="BB113" i="11"/>
  <c r="BB114" i="11"/>
  <c r="BB115" i="11"/>
  <c r="BB116" i="11"/>
  <c r="BB117" i="11"/>
  <c r="BB118" i="11"/>
  <c r="BB119" i="11"/>
  <c r="BB120" i="11"/>
  <c r="BB121" i="11"/>
  <c r="BB122" i="11"/>
  <c r="BB123" i="11"/>
  <c r="BB124" i="11"/>
  <c r="BB125" i="11"/>
  <c r="BB126" i="11"/>
  <c r="BB127" i="11"/>
  <c r="BB128" i="11"/>
  <c r="BB129" i="11"/>
  <c r="BB130" i="11"/>
  <c r="BB131" i="11"/>
  <c r="BB132" i="11"/>
  <c r="BB133" i="11"/>
  <c r="BB134" i="11"/>
  <c r="BB135" i="11"/>
  <c r="BB136" i="11"/>
  <c r="BB137" i="11"/>
  <c r="BB138" i="11"/>
  <c r="BB139" i="11"/>
  <c r="BB140" i="11"/>
  <c r="BB141" i="11"/>
  <c r="BB142" i="11"/>
  <c r="BB143" i="11"/>
  <c r="BB144" i="11"/>
  <c r="BB145" i="11"/>
  <c r="BB146" i="11"/>
  <c r="BB147" i="11"/>
  <c r="BB148" i="11"/>
  <c r="BB149" i="11"/>
  <c r="BB150" i="11"/>
  <c r="BB151" i="11"/>
  <c r="BB152" i="11"/>
  <c r="BB153" i="11"/>
  <c r="BB154" i="11"/>
  <c r="BB155" i="11"/>
  <c r="BB156" i="11"/>
  <c r="BB157" i="11"/>
  <c r="BB158" i="11"/>
  <c r="BB159" i="11"/>
  <c r="BB160" i="11"/>
  <c r="BB161" i="11"/>
  <c r="BB162" i="11"/>
  <c r="BB163" i="11"/>
  <c r="BB164" i="11"/>
  <c r="BB165" i="11"/>
  <c r="BB166" i="11"/>
  <c r="BB167" i="11"/>
  <c r="BB168" i="11"/>
  <c r="BB169" i="11"/>
  <c r="BB170" i="11"/>
  <c r="BB171" i="11"/>
  <c r="BB172" i="11"/>
  <c r="BB173" i="11"/>
  <c r="BB174" i="11"/>
  <c r="BB175" i="11"/>
  <c r="BB176" i="11"/>
  <c r="BB177" i="11"/>
  <c r="BB178" i="11"/>
  <c r="BB179" i="11"/>
  <c r="BB180" i="11"/>
  <c r="BB181" i="11"/>
  <c r="BB182" i="11"/>
  <c r="BB183" i="11"/>
  <c r="BB184" i="11"/>
  <c r="BB185" i="11"/>
  <c r="BB186" i="11"/>
  <c r="BB187" i="11"/>
  <c r="BB188" i="11"/>
  <c r="BB189" i="11"/>
  <c r="BB190" i="11"/>
  <c r="BB191" i="11"/>
  <c r="BB192" i="11"/>
  <c r="BB193" i="11"/>
  <c r="BB194" i="11"/>
  <c r="BB195" i="11"/>
  <c r="BB196" i="11"/>
  <c r="BB197" i="11"/>
  <c r="BB198" i="11"/>
  <c r="BB199" i="11"/>
  <c r="BB200" i="11"/>
  <c r="BB201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BA111" i="11"/>
  <c r="BA112" i="11"/>
  <c r="BA113" i="11"/>
  <c r="BA114" i="11"/>
  <c r="BA115" i="11"/>
  <c r="BA116" i="11"/>
  <c r="BA117" i="11"/>
  <c r="BA118" i="11"/>
  <c r="BA119" i="11"/>
  <c r="BA120" i="11"/>
  <c r="BA121" i="11"/>
  <c r="BA122" i="11"/>
  <c r="BA123" i="11"/>
  <c r="BA124" i="11"/>
  <c r="BA125" i="11"/>
  <c r="BA126" i="11"/>
  <c r="BA127" i="11"/>
  <c r="BA128" i="11"/>
  <c r="BA129" i="11"/>
  <c r="BA130" i="11"/>
  <c r="BA131" i="11"/>
  <c r="BA132" i="11"/>
  <c r="BA133" i="11"/>
  <c r="BA134" i="11"/>
  <c r="BA135" i="11"/>
  <c r="BA136" i="11"/>
  <c r="BA137" i="11"/>
  <c r="BA138" i="11"/>
  <c r="BA139" i="11"/>
  <c r="BA140" i="11"/>
  <c r="BA141" i="11"/>
  <c r="BA142" i="11"/>
  <c r="BA143" i="11"/>
  <c r="BA144" i="11"/>
  <c r="BA145" i="11"/>
  <c r="BA146" i="11"/>
  <c r="BA147" i="11"/>
  <c r="BA148" i="11"/>
  <c r="BA149" i="11"/>
  <c r="BA150" i="11"/>
  <c r="BA151" i="11"/>
  <c r="BA152" i="11"/>
  <c r="BA153" i="11"/>
  <c r="BA154" i="11"/>
  <c r="BA155" i="11"/>
  <c r="BA156" i="11"/>
  <c r="BA157" i="11"/>
  <c r="BA158" i="11"/>
  <c r="BA159" i="11"/>
  <c r="BA160" i="11"/>
  <c r="BA161" i="11"/>
  <c r="BA162" i="11"/>
  <c r="BA163" i="11"/>
  <c r="BA164" i="11"/>
  <c r="BA165" i="11"/>
  <c r="BA166" i="11"/>
  <c r="BA167" i="11"/>
  <c r="BA168" i="11"/>
  <c r="BA169" i="11"/>
  <c r="BA170" i="11"/>
  <c r="BA171" i="11"/>
  <c r="BA172" i="11"/>
  <c r="BA173" i="11"/>
  <c r="BA174" i="11"/>
  <c r="BA175" i="11"/>
  <c r="BA176" i="11"/>
  <c r="BA177" i="11"/>
  <c r="BA178" i="11"/>
  <c r="BA179" i="11"/>
  <c r="BA180" i="11"/>
  <c r="BA181" i="11"/>
  <c r="BA182" i="11"/>
  <c r="BA183" i="11"/>
  <c r="BA184" i="11"/>
  <c r="BA185" i="11"/>
  <c r="BA186" i="11"/>
  <c r="BA187" i="11"/>
  <c r="BA188" i="11"/>
  <c r="BA189" i="11"/>
  <c r="BA190" i="11"/>
  <c r="BA191" i="11"/>
  <c r="BA192" i="11"/>
  <c r="BA193" i="11"/>
  <c r="BA194" i="11"/>
  <c r="BA195" i="11"/>
  <c r="BA196" i="11"/>
  <c r="BA197" i="11"/>
  <c r="BA198" i="11"/>
  <c r="BA199" i="11"/>
  <c r="BA200" i="11"/>
  <c r="BA201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33" i="11"/>
  <c r="AZ34" i="11"/>
  <c r="AZ35" i="11"/>
  <c r="AZ36" i="11"/>
  <c r="AZ37" i="11"/>
  <c r="AZ38" i="11"/>
  <c r="AZ39" i="11"/>
  <c r="AZ40" i="11"/>
  <c r="AZ41" i="11"/>
  <c r="AZ42" i="11"/>
  <c r="AZ43" i="11"/>
  <c r="AZ44" i="11"/>
  <c r="AZ45" i="11"/>
  <c r="AZ46" i="11"/>
  <c r="AZ47" i="11"/>
  <c r="AZ48" i="11"/>
  <c r="AZ49" i="11"/>
  <c r="AZ50" i="11"/>
  <c r="AZ51" i="11"/>
  <c r="AZ52" i="11"/>
  <c r="AZ53" i="11"/>
  <c r="AZ54" i="11"/>
  <c r="AZ55" i="11"/>
  <c r="AZ56" i="11"/>
  <c r="AZ57" i="11"/>
  <c r="AZ58" i="11"/>
  <c r="AZ59" i="11"/>
  <c r="AZ60" i="11"/>
  <c r="AZ61" i="11"/>
  <c r="AZ62" i="11"/>
  <c r="AZ63" i="11"/>
  <c r="AZ64" i="11"/>
  <c r="AZ65" i="11"/>
  <c r="AZ66" i="11"/>
  <c r="AZ67" i="11"/>
  <c r="AZ68" i="11"/>
  <c r="AZ69" i="11"/>
  <c r="AZ70" i="11"/>
  <c r="AZ71" i="11"/>
  <c r="AZ72" i="11"/>
  <c r="AZ73" i="11"/>
  <c r="AZ74" i="11"/>
  <c r="AZ75" i="11"/>
  <c r="AZ76" i="11"/>
  <c r="AZ77" i="11"/>
  <c r="AZ78" i="11"/>
  <c r="AZ79" i="11"/>
  <c r="AZ80" i="11"/>
  <c r="AZ81" i="11"/>
  <c r="AZ82" i="11"/>
  <c r="AZ83" i="11"/>
  <c r="AZ84" i="11"/>
  <c r="AZ85" i="11"/>
  <c r="AZ86" i="11"/>
  <c r="AZ87" i="11"/>
  <c r="AZ88" i="11"/>
  <c r="AZ89" i="11"/>
  <c r="AZ90" i="11"/>
  <c r="AZ91" i="11"/>
  <c r="AZ92" i="11"/>
  <c r="AZ93" i="11"/>
  <c r="AZ94" i="11"/>
  <c r="AZ95" i="11"/>
  <c r="AZ96" i="11"/>
  <c r="AZ97" i="11"/>
  <c r="AZ98" i="11"/>
  <c r="AZ99" i="11"/>
  <c r="AZ100" i="11"/>
  <c r="AZ101" i="11"/>
  <c r="AZ102" i="11"/>
  <c r="AZ103" i="11"/>
  <c r="AZ104" i="11"/>
  <c r="AZ105" i="11"/>
  <c r="AZ106" i="11"/>
  <c r="AZ107" i="11"/>
  <c r="AZ108" i="11"/>
  <c r="AZ109" i="11"/>
  <c r="AZ110" i="11"/>
  <c r="AZ111" i="11"/>
  <c r="AZ112" i="11"/>
  <c r="AZ113" i="11"/>
  <c r="AZ114" i="11"/>
  <c r="AZ115" i="11"/>
  <c r="AZ116" i="11"/>
  <c r="AZ117" i="11"/>
  <c r="AZ118" i="11"/>
  <c r="AZ119" i="11"/>
  <c r="AZ120" i="11"/>
  <c r="AZ121" i="11"/>
  <c r="AZ122" i="11"/>
  <c r="AZ123" i="11"/>
  <c r="AZ124" i="11"/>
  <c r="AZ125" i="11"/>
  <c r="AZ126" i="11"/>
  <c r="AZ127" i="11"/>
  <c r="AZ128" i="11"/>
  <c r="AZ129" i="11"/>
  <c r="AZ130" i="11"/>
  <c r="AZ131" i="11"/>
  <c r="AZ132" i="11"/>
  <c r="AZ133" i="11"/>
  <c r="AZ134" i="11"/>
  <c r="AZ135" i="11"/>
  <c r="AZ136" i="11"/>
  <c r="AZ137" i="11"/>
  <c r="AZ138" i="11"/>
  <c r="AZ139" i="11"/>
  <c r="AZ140" i="11"/>
  <c r="AZ141" i="11"/>
  <c r="AZ142" i="11"/>
  <c r="AZ143" i="11"/>
  <c r="AZ144" i="11"/>
  <c r="AZ145" i="11"/>
  <c r="AZ146" i="11"/>
  <c r="AZ147" i="11"/>
  <c r="AZ148" i="11"/>
  <c r="AZ149" i="11"/>
  <c r="AZ150" i="11"/>
  <c r="AZ151" i="11"/>
  <c r="AZ152" i="11"/>
  <c r="AZ153" i="11"/>
  <c r="AZ154" i="11"/>
  <c r="AZ155" i="11"/>
  <c r="AZ156" i="11"/>
  <c r="AZ157" i="11"/>
  <c r="AZ158" i="11"/>
  <c r="AZ159" i="11"/>
  <c r="AZ160" i="11"/>
  <c r="AZ161" i="11"/>
  <c r="AZ162" i="11"/>
  <c r="AZ163" i="11"/>
  <c r="AZ164" i="11"/>
  <c r="AZ165" i="11"/>
  <c r="AZ166" i="11"/>
  <c r="AZ167" i="11"/>
  <c r="AZ168" i="11"/>
  <c r="AZ169" i="11"/>
  <c r="AZ170" i="11"/>
  <c r="AZ171" i="11"/>
  <c r="AZ172" i="11"/>
  <c r="AZ173" i="11"/>
  <c r="AZ174" i="11"/>
  <c r="AZ175" i="11"/>
  <c r="AZ176" i="11"/>
  <c r="AZ177" i="11"/>
  <c r="AZ178" i="11"/>
  <c r="AZ179" i="11"/>
  <c r="AZ180" i="11"/>
  <c r="AZ181" i="11"/>
  <c r="AZ182" i="11"/>
  <c r="AZ183" i="11"/>
  <c r="AZ184" i="11"/>
  <c r="AZ185" i="11"/>
  <c r="AZ186" i="11"/>
  <c r="AZ187" i="11"/>
  <c r="AZ188" i="11"/>
  <c r="AZ189" i="11"/>
  <c r="AZ190" i="11"/>
  <c r="AZ191" i="11"/>
  <c r="AZ192" i="11"/>
  <c r="AZ193" i="11"/>
  <c r="AZ194" i="11"/>
  <c r="AZ195" i="11"/>
  <c r="AZ196" i="11"/>
  <c r="AZ197" i="11"/>
  <c r="AZ198" i="11"/>
  <c r="AZ199" i="11"/>
  <c r="AZ200" i="11"/>
  <c r="AZ201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33" i="11"/>
  <c r="AY34" i="11"/>
  <c r="AY35" i="11"/>
  <c r="AY36" i="11"/>
  <c r="AY37" i="11"/>
  <c r="AY38" i="11"/>
  <c r="AY39" i="11"/>
  <c r="AY40" i="11"/>
  <c r="AY41" i="11"/>
  <c r="AY42" i="11"/>
  <c r="AY43" i="11"/>
  <c r="AY44" i="11"/>
  <c r="AY45" i="11"/>
  <c r="AY46" i="11"/>
  <c r="AY47" i="11"/>
  <c r="AY48" i="11"/>
  <c r="AY49" i="11"/>
  <c r="AY50" i="11"/>
  <c r="AY51" i="11"/>
  <c r="AY52" i="11"/>
  <c r="AY53" i="11"/>
  <c r="AY54" i="11"/>
  <c r="AY55" i="11"/>
  <c r="AY56" i="11"/>
  <c r="AY57" i="11"/>
  <c r="AY58" i="11"/>
  <c r="AY59" i="11"/>
  <c r="AY60" i="11"/>
  <c r="AY61" i="11"/>
  <c r="AY62" i="11"/>
  <c r="AY63" i="11"/>
  <c r="AY64" i="11"/>
  <c r="AY65" i="11"/>
  <c r="AY66" i="11"/>
  <c r="AY67" i="11"/>
  <c r="AY68" i="11"/>
  <c r="AY69" i="11"/>
  <c r="AY70" i="11"/>
  <c r="AY71" i="11"/>
  <c r="AY72" i="11"/>
  <c r="AY73" i="11"/>
  <c r="AY74" i="11"/>
  <c r="AY75" i="11"/>
  <c r="AY76" i="11"/>
  <c r="AY77" i="11"/>
  <c r="AY78" i="11"/>
  <c r="AY79" i="11"/>
  <c r="AY80" i="11"/>
  <c r="AY81" i="11"/>
  <c r="AY82" i="11"/>
  <c r="AY83" i="11"/>
  <c r="AY84" i="11"/>
  <c r="AY85" i="11"/>
  <c r="AY86" i="11"/>
  <c r="AY87" i="11"/>
  <c r="AY88" i="11"/>
  <c r="AY89" i="11"/>
  <c r="AY90" i="11"/>
  <c r="AY91" i="11"/>
  <c r="AY92" i="11"/>
  <c r="AY93" i="11"/>
  <c r="AY94" i="11"/>
  <c r="AY95" i="11"/>
  <c r="AY96" i="11"/>
  <c r="AY97" i="11"/>
  <c r="AY98" i="11"/>
  <c r="AY99" i="11"/>
  <c r="AY100" i="11"/>
  <c r="AY101" i="11"/>
  <c r="AY102" i="11"/>
  <c r="AY103" i="11"/>
  <c r="AY104" i="11"/>
  <c r="AY105" i="11"/>
  <c r="AY106" i="11"/>
  <c r="AY107" i="11"/>
  <c r="AY108" i="11"/>
  <c r="AY109" i="11"/>
  <c r="AY110" i="11"/>
  <c r="AY111" i="11"/>
  <c r="AY112" i="11"/>
  <c r="AY113" i="11"/>
  <c r="AY114" i="11"/>
  <c r="AY115" i="11"/>
  <c r="AY116" i="11"/>
  <c r="AY117" i="11"/>
  <c r="AY118" i="11"/>
  <c r="AY119" i="11"/>
  <c r="AY120" i="11"/>
  <c r="AY121" i="11"/>
  <c r="AY122" i="11"/>
  <c r="AY123" i="11"/>
  <c r="AY124" i="11"/>
  <c r="AY125" i="11"/>
  <c r="AY126" i="11"/>
  <c r="AY127" i="11"/>
  <c r="AY128" i="11"/>
  <c r="AY129" i="11"/>
  <c r="AY130" i="11"/>
  <c r="AY131" i="11"/>
  <c r="AY132" i="11"/>
  <c r="AY133" i="11"/>
  <c r="AY134" i="11"/>
  <c r="AY135" i="11"/>
  <c r="AY136" i="11"/>
  <c r="AY137" i="11"/>
  <c r="AY138" i="11"/>
  <c r="AY139" i="11"/>
  <c r="AY140" i="11"/>
  <c r="AY141" i="11"/>
  <c r="AY142" i="11"/>
  <c r="AY143" i="11"/>
  <c r="AY144" i="11"/>
  <c r="AY145" i="11"/>
  <c r="AY146" i="11"/>
  <c r="AY147" i="11"/>
  <c r="AY148" i="11"/>
  <c r="AY149" i="11"/>
  <c r="AY150" i="11"/>
  <c r="AY151" i="11"/>
  <c r="AY152" i="11"/>
  <c r="AY153" i="11"/>
  <c r="AY154" i="11"/>
  <c r="AY155" i="11"/>
  <c r="AY156" i="11"/>
  <c r="AY157" i="11"/>
  <c r="AY158" i="11"/>
  <c r="AY159" i="11"/>
  <c r="AY160" i="11"/>
  <c r="AY161" i="11"/>
  <c r="AY162" i="11"/>
  <c r="AY163" i="11"/>
  <c r="AY164" i="11"/>
  <c r="AY165" i="11"/>
  <c r="AY166" i="11"/>
  <c r="AY167" i="11"/>
  <c r="AY168" i="11"/>
  <c r="AY169" i="11"/>
  <c r="AY170" i="11"/>
  <c r="AY171" i="11"/>
  <c r="AY172" i="11"/>
  <c r="AY173" i="11"/>
  <c r="AY174" i="11"/>
  <c r="AY175" i="11"/>
  <c r="AY176" i="11"/>
  <c r="AY177" i="11"/>
  <c r="AY178" i="11"/>
  <c r="AY179" i="11"/>
  <c r="AY180" i="11"/>
  <c r="AY181" i="11"/>
  <c r="AY182" i="11"/>
  <c r="AY183" i="11"/>
  <c r="AY184" i="11"/>
  <c r="AY185" i="11"/>
  <c r="AY186" i="11"/>
  <c r="AY187" i="11"/>
  <c r="AY188" i="11"/>
  <c r="AY189" i="11"/>
  <c r="AY190" i="11"/>
  <c r="AY191" i="11"/>
  <c r="AY192" i="11"/>
  <c r="AY193" i="11"/>
  <c r="AY194" i="11"/>
  <c r="AY195" i="11"/>
  <c r="AY196" i="11"/>
  <c r="AY197" i="11"/>
  <c r="AY198" i="11"/>
  <c r="AY199" i="11"/>
  <c r="AY200" i="11"/>
  <c r="AY201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45" i="11"/>
  <c r="AX46" i="11"/>
  <c r="AX47" i="11"/>
  <c r="AX48" i="11"/>
  <c r="AX49" i="11"/>
  <c r="AX50" i="11"/>
  <c r="AX51" i="11"/>
  <c r="AX52" i="11"/>
  <c r="AX53" i="11"/>
  <c r="AX54" i="11"/>
  <c r="AX55" i="11"/>
  <c r="AX56" i="11"/>
  <c r="AX57" i="11"/>
  <c r="AX58" i="11"/>
  <c r="AX59" i="11"/>
  <c r="AX60" i="11"/>
  <c r="AX61" i="11"/>
  <c r="AX62" i="11"/>
  <c r="AX63" i="11"/>
  <c r="AX64" i="11"/>
  <c r="AX65" i="11"/>
  <c r="AX66" i="11"/>
  <c r="AX67" i="11"/>
  <c r="AX68" i="11"/>
  <c r="AX69" i="11"/>
  <c r="AX70" i="11"/>
  <c r="AX71" i="11"/>
  <c r="AX72" i="11"/>
  <c r="AX73" i="11"/>
  <c r="AX74" i="11"/>
  <c r="AX75" i="11"/>
  <c r="AX76" i="11"/>
  <c r="AX77" i="11"/>
  <c r="AX78" i="11"/>
  <c r="AX79" i="11"/>
  <c r="AX80" i="11"/>
  <c r="AX81" i="11"/>
  <c r="AX82" i="11"/>
  <c r="AX83" i="11"/>
  <c r="AX84" i="11"/>
  <c r="AX85" i="11"/>
  <c r="AX86" i="11"/>
  <c r="AX87" i="11"/>
  <c r="AX88" i="11"/>
  <c r="AX89" i="11"/>
  <c r="AX90" i="11"/>
  <c r="AX91" i="11"/>
  <c r="AX92" i="11"/>
  <c r="AX93" i="11"/>
  <c r="AX94" i="11"/>
  <c r="AX95" i="11"/>
  <c r="AX96" i="11"/>
  <c r="AX97" i="11"/>
  <c r="AX98" i="11"/>
  <c r="AX99" i="11"/>
  <c r="AX100" i="11"/>
  <c r="AX101" i="11"/>
  <c r="AX102" i="11"/>
  <c r="AX103" i="11"/>
  <c r="AX104" i="11"/>
  <c r="AX105" i="11"/>
  <c r="AX106" i="11"/>
  <c r="AX107" i="11"/>
  <c r="AX108" i="11"/>
  <c r="AX109" i="11"/>
  <c r="AX110" i="11"/>
  <c r="AX111" i="11"/>
  <c r="AX112" i="11"/>
  <c r="AX113" i="11"/>
  <c r="AX114" i="11"/>
  <c r="AX115" i="11"/>
  <c r="AX116" i="11"/>
  <c r="AX117" i="11"/>
  <c r="AX118" i="11"/>
  <c r="AX119" i="11"/>
  <c r="AX120" i="11"/>
  <c r="AX121" i="11"/>
  <c r="AX122" i="11"/>
  <c r="AX123" i="11"/>
  <c r="AX124" i="11"/>
  <c r="AX125" i="11"/>
  <c r="AX126" i="11"/>
  <c r="AX127" i="11"/>
  <c r="AX128" i="11"/>
  <c r="AX129" i="11"/>
  <c r="AX130" i="11"/>
  <c r="AX131" i="11"/>
  <c r="AX132" i="11"/>
  <c r="AX133" i="11"/>
  <c r="AX134" i="11"/>
  <c r="AX135" i="11"/>
  <c r="AX136" i="11"/>
  <c r="AX137" i="11"/>
  <c r="AX138" i="11"/>
  <c r="AX139" i="11"/>
  <c r="AX140" i="11"/>
  <c r="AX141" i="11"/>
  <c r="AX142" i="11"/>
  <c r="AX143" i="11"/>
  <c r="AX144" i="11"/>
  <c r="AX145" i="11"/>
  <c r="AX146" i="11"/>
  <c r="AX147" i="11"/>
  <c r="AX148" i="11"/>
  <c r="AX149" i="11"/>
  <c r="AX150" i="11"/>
  <c r="AX151" i="11"/>
  <c r="AX152" i="11"/>
  <c r="AX153" i="11"/>
  <c r="AX154" i="11"/>
  <c r="AX155" i="11"/>
  <c r="AX156" i="11"/>
  <c r="AX157" i="11"/>
  <c r="AX158" i="11"/>
  <c r="AX159" i="11"/>
  <c r="AX160" i="11"/>
  <c r="AX161" i="11"/>
  <c r="AX162" i="11"/>
  <c r="AX163" i="11"/>
  <c r="AX164" i="11"/>
  <c r="AX165" i="11"/>
  <c r="AX166" i="11"/>
  <c r="AX167" i="11"/>
  <c r="AX168" i="11"/>
  <c r="AX169" i="11"/>
  <c r="AX170" i="11"/>
  <c r="AX171" i="11"/>
  <c r="AX172" i="11"/>
  <c r="AX173" i="11"/>
  <c r="AX174" i="11"/>
  <c r="AX175" i="11"/>
  <c r="AX176" i="11"/>
  <c r="AX177" i="11"/>
  <c r="AX178" i="11"/>
  <c r="AX179" i="11"/>
  <c r="AX180" i="11"/>
  <c r="AX181" i="11"/>
  <c r="AX182" i="11"/>
  <c r="AX183" i="11"/>
  <c r="AX184" i="11"/>
  <c r="AX185" i="11"/>
  <c r="AX186" i="11"/>
  <c r="AX187" i="11"/>
  <c r="AX188" i="11"/>
  <c r="AX189" i="11"/>
  <c r="AX190" i="11"/>
  <c r="AX191" i="11"/>
  <c r="AX192" i="11"/>
  <c r="AX193" i="11"/>
  <c r="AX194" i="11"/>
  <c r="AX195" i="11"/>
  <c r="AX196" i="11"/>
  <c r="AX197" i="11"/>
  <c r="AX198" i="11"/>
  <c r="AX199" i="11"/>
  <c r="AX200" i="11"/>
  <c r="AX201" i="11"/>
  <c r="AX2" i="11"/>
  <c r="AW2" i="11"/>
  <c r="AW3" i="11"/>
  <c r="C3" i="11" s="1"/>
  <c r="AW4" i="11"/>
  <c r="C4" i="11" s="1"/>
  <c r="AW5" i="11"/>
  <c r="AW6" i="11"/>
  <c r="AW7" i="11"/>
  <c r="C7" i="11" s="1"/>
  <c r="AW8" i="11"/>
  <c r="C8" i="11" s="1"/>
  <c r="AW9" i="11"/>
  <c r="C9" i="11" s="1"/>
  <c r="AW10" i="11"/>
  <c r="AW11" i="11"/>
  <c r="AW12" i="11"/>
  <c r="AW13" i="11"/>
  <c r="AW14" i="11"/>
  <c r="AW15" i="11"/>
  <c r="C15" i="11" s="1"/>
  <c r="AW16" i="11"/>
  <c r="C16" i="11" s="1"/>
  <c r="AW17" i="11"/>
  <c r="C17" i="11" s="1"/>
  <c r="AW18" i="11"/>
  <c r="AW19" i="11"/>
  <c r="C19" i="11" s="1"/>
  <c r="AW20" i="11"/>
  <c r="AW21" i="11"/>
  <c r="AW22" i="11"/>
  <c r="AW23" i="11"/>
  <c r="C23" i="11" s="1"/>
  <c r="AW24" i="11"/>
  <c r="AW25" i="11"/>
  <c r="C25" i="11" s="1"/>
  <c r="AW26" i="11"/>
  <c r="AW27" i="11"/>
  <c r="AW28" i="11"/>
  <c r="C28" i="11" s="1"/>
  <c r="AW29" i="11"/>
  <c r="AW30" i="11"/>
  <c r="AW31" i="11"/>
  <c r="C31" i="11" s="1"/>
  <c r="AW32" i="11"/>
  <c r="AW33" i="11"/>
  <c r="C33" i="11" s="1"/>
  <c r="AW34" i="11"/>
  <c r="AW35" i="11"/>
  <c r="AW36" i="11"/>
  <c r="C36" i="11" s="1"/>
  <c r="AW37" i="11"/>
  <c r="C37" i="11" s="1"/>
  <c r="AW38" i="11"/>
  <c r="AW39" i="11"/>
  <c r="C39" i="11" s="1"/>
  <c r="AW40" i="11"/>
  <c r="AW41" i="11"/>
  <c r="C41" i="11" s="1"/>
  <c r="AW42" i="11"/>
  <c r="AW43" i="11"/>
  <c r="AW44" i="11"/>
  <c r="C44" i="11" s="1"/>
  <c r="AW45" i="11"/>
  <c r="AW46" i="11"/>
  <c r="AW47" i="11"/>
  <c r="C47" i="11" s="1"/>
  <c r="AW48" i="11"/>
  <c r="AW49" i="11"/>
  <c r="AW50" i="11"/>
  <c r="AW51" i="11"/>
  <c r="AW52" i="11"/>
  <c r="C52" i="11" s="1"/>
  <c r="AW53" i="11"/>
  <c r="AW54" i="11"/>
  <c r="AW55" i="11"/>
  <c r="AW56" i="11"/>
  <c r="AW57" i="11"/>
  <c r="AW58" i="11"/>
  <c r="AW59" i="11"/>
  <c r="AW60" i="11"/>
  <c r="AW61" i="11"/>
  <c r="C61" i="11" s="1"/>
  <c r="AW62" i="11"/>
  <c r="AW63" i="11"/>
  <c r="C63" i="11" s="1"/>
  <c r="AW64" i="11"/>
  <c r="AW65" i="11"/>
  <c r="C65" i="11" s="1"/>
  <c r="AW66" i="11"/>
  <c r="AW67" i="11"/>
  <c r="AW68" i="11"/>
  <c r="AW69" i="11"/>
  <c r="C69" i="11" s="1"/>
  <c r="AW70" i="11"/>
  <c r="AW71" i="11"/>
  <c r="C71" i="11" s="1"/>
  <c r="AW72" i="11"/>
  <c r="AW73" i="11"/>
  <c r="C73" i="11" s="1"/>
  <c r="AW74" i="11"/>
  <c r="AW75" i="11"/>
  <c r="AW76" i="11"/>
  <c r="AW77" i="11"/>
  <c r="C77" i="11" s="1"/>
  <c r="AW78" i="11"/>
  <c r="AW79" i="11"/>
  <c r="C79" i="11" s="1"/>
  <c r="AW80" i="11"/>
  <c r="AW81" i="11"/>
  <c r="C81" i="11" s="1"/>
  <c r="AW82" i="11"/>
  <c r="AW83" i="11"/>
  <c r="AW84" i="11"/>
  <c r="AW85" i="11"/>
  <c r="C85" i="11" s="1"/>
  <c r="AW86" i="11"/>
  <c r="AW87" i="11"/>
  <c r="C87" i="11" s="1"/>
  <c r="AW88" i="11"/>
  <c r="AW89" i="11"/>
  <c r="C89" i="11" s="1"/>
  <c r="AW90" i="11"/>
  <c r="AW91" i="11"/>
  <c r="AW92" i="11"/>
  <c r="AW93" i="11"/>
  <c r="C93" i="11" s="1"/>
  <c r="AW94" i="11"/>
  <c r="AW95" i="11"/>
  <c r="C95" i="11" s="1"/>
  <c r="AW96" i="11"/>
  <c r="AW97" i="11"/>
  <c r="C97" i="11" s="1"/>
  <c r="AW98" i="11"/>
  <c r="AW99" i="11"/>
  <c r="AW100" i="11"/>
  <c r="AW101" i="11"/>
  <c r="AW102" i="11"/>
  <c r="AW103" i="11"/>
  <c r="AW104" i="11"/>
  <c r="AW105" i="11"/>
  <c r="C105" i="11" s="1"/>
  <c r="AW106" i="11"/>
  <c r="AW107" i="11"/>
  <c r="AW108" i="11"/>
  <c r="AW109" i="11"/>
  <c r="AW110" i="11"/>
  <c r="AW111" i="11"/>
  <c r="AW112" i="11"/>
  <c r="AW113" i="11"/>
  <c r="C113" i="11" s="1"/>
  <c r="AW114" i="11"/>
  <c r="AW115" i="11"/>
  <c r="AW116" i="11"/>
  <c r="AW117" i="11"/>
  <c r="AW118" i="11"/>
  <c r="AW119" i="11"/>
  <c r="C119" i="11" s="1"/>
  <c r="AW120" i="11"/>
  <c r="AW121" i="11"/>
  <c r="AW122" i="11"/>
  <c r="AW123" i="11"/>
  <c r="AW124" i="11"/>
  <c r="AW125" i="11"/>
  <c r="AW126" i="11"/>
  <c r="AW127" i="11"/>
  <c r="C127" i="11" s="1"/>
  <c r="AW128" i="11"/>
  <c r="AW129" i="11"/>
  <c r="C129" i="11" s="1"/>
  <c r="AW130" i="11"/>
  <c r="AW131" i="11"/>
  <c r="AW132" i="11"/>
  <c r="AW133" i="11"/>
  <c r="AW134" i="11"/>
  <c r="AW135" i="11"/>
  <c r="C135" i="11" s="1"/>
  <c r="AW136" i="11"/>
  <c r="AW137" i="11"/>
  <c r="C137" i="11" s="1"/>
  <c r="AW138" i="11"/>
  <c r="AW139" i="11"/>
  <c r="C139" i="11" s="1"/>
  <c r="AW140" i="11"/>
  <c r="AW141" i="11"/>
  <c r="AW142" i="11"/>
  <c r="AW143" i="11"/>
  <c r="C143" i="11" s="1"/>
  <c r="AW144" i="11"/>
  <c r="AW145" i="11"/>
  <c r="C145" i="11" s="1"/>
  <c r="AW146" i="11"/>
  <c r="AW147" i="11"/>
  <c r="C147" i="11" s="1"/>
  <c r="AW148" i="11"/>
  <c r="AW149" i="11"/>
  <c r="AW150" i="11"/>
  <c r="AW151" i="11"/>
  <c r="C151" i="11" s="1"/>
  <c r="AW152" i="11"/>
  <c r="AW153" i="11"/>
  <c r="C153" i="11" s="1"/>
  <c r="AW154" i="11"/>
  <c r="AW155" i="11"/>
  <c r="AW156" i="11"/>
  <c r="AW157" i="11"/>
  <c r="AW158" i="11"/>
  <c r="AW159" i="11"/>
  <c r="C159" i="11" s="1"/>
  <c r="AW160" i="11"/>
  <c r="AW161" i="11"/>
  <c r="C161" i="11" s="1"/>
  <c r="AW162" i="11"/>
  <c r="AW163" i="11"/>
  <c r="AW164" i="11"/>
  <c r="AW165" i="11"/>
  <c r="AW166" i="11"/>
  <c r="AW167" i="11"/>
  <c r="C167" i="11" s="1"/>
  <c r="AW168" i="11"/>
  <c r="AW169" i="11"/>
  <c r="AW170" i="11"/>
  <c r="AW171" i="11"/>
  <c r="AW172" i="11"/>
  <c r="AW173" i="11"/>
  <c r="AW174" i="11"/>
  <c r="AW175" i="11"/>
  <c r="AW176" i="11"/>
  <c r="AW177" i="11"/>
  <c r="C177" i="11" s="1"/>
  <c r="AW178" i="11"/>
  <c r="AW179" i="11"/>
  <c r="AW180" i="11"/>
  <c r="AW181" i="11"/>
  <c r="AW182" i="11"/>
  <c r="AW183" i="11"/>
  <c r="AW184" i="11"/>
  <c r="AW185" i="11"/>
  <c r="C185" i="11" s="1"/>
  <c r="AW186" i="11"/>
  <c r="AW187" i="11"/>
  <c r="AW188" i="11"/>
  <c r="AW189" i="11"/>
  <c r="AW190" i="11"/>
  <c r="AW191" i="11"/>
  <c r="AW192" i="11"/>
  <c r="AW193" i="11"/>
  <c r="AW194" i="11"/>
  <c r="AW195" i="11"/>
  <c r="AW196" i="11"/>
  <c r="AW197" i="11"/>
  <c r="AW198" i="11"/>
  <c r="AW199" i="11"/>
  <c r="AW200" i="11"/>
  <c r="AW201" i="11"/>
  <c r="AU3" i="11" a="1"/>
  <c r="AU3" i="11" s="1"/>
  <c r="AU4" i="11" a="1"/>
  <c r="AU4" i="11" s="1"/>
  <c r="AU5" i="11" a="1"/>
  <c r="AU5" i="11" s="1"/>
  <c r="AU6" i="11" a="1"/>
  <c r="AU6" i="11" s="1"/>
  <c r="AU7" i="11" a="1"/>
  <c r="AU7" i="11" s="1"/>
  <c r="AU8" i="11" a="1"/>
  <c r="AU8" i="11" s="1"/>
  <c r="AU9" i="11" a="1"/>
  <c r="AU9" i="11" s="1"/>
  <c r="AU10" i="11" a="1"/>
  <c r="AU10" i="11" s="1"/>
  <c r="AU11" i="11" a="1"/>
  <c r="AU11" i="11" s="1"/>
  <c r="AU12" i="11" a="1"/>
  <c r="AU12" i="11" s="1"/>
  <c r="AU13" i="11" a="1"/>
  <c r="AU13" i="11" s="1"/>
  <c r="AU14" i="11" a="1"/>
  <c r="AU14" i="11" s="1"/>
  <c r="AU15" i="11" a="1"/>
  <c r="AU15" i="11" s="1"/>
  <c r="AU16" i="11" a="1"/>
  <c r="AU16" i="11" s="1"/>
  <c r="AU17" i="11" a="1"/>
  <c r="AU17" i="11" s="1"/>
  <c r="AU18" i="11" a="1"/>
  <c r="AU18" i="11" s="1"/>
  <c r="AU19" i="11" a="1"/>
  <c r="AU19" i="11" s="1"/>
  <c r="AU20" i="11" a="1"/>
  <c r="AU20" i="11" s="1"/>
  <c r="AU21" i="11" a="1"/>
  <c r="AU21" i="11" s="1"/>
  <c r="AU22" i="11" a="1"/>
  <c r="AU22" i="11" s="1"/>
  <c r="AU23" i="11" a="1"/>
  <c r="AU23" i="11" s="1"/>
  <c r="AU24" i="11" a="1"/>
  <c r="AU24" i="11" s="1"/>
  <c r="AU25" i="11" a="1"/>
  <c r="AU25" i="11" s="1"/>
  <c r="AU26" i="11" a="1"/>
  <c r="AU26" i="11" s="1"/>
  <c r="AU27" i="11" a="1"/>
  <c r="AU27" i="11" s="1"/>
  <c r="AU28" i="11" a="1"/>
  <c r="AU28" i="11" s="1"/>
  <c r="AU29" i="11" a="1"/>
  <c r="AU29" i="11" s="1"/>
  <c r="AU30" i="11" a="1"/>
  <c r="AU30" i="11" s="1"/>
  <c r="AU31" i="11" a="1"/>
  <c r="AU31" i="11" s="1"/>
  <c r="AU32" i="11" a="1"/>
  <c r="AU32" i="11" s="1"/>
  <c r="AU33" i="11" a="1"/>
  <c r="AU33" i="11" s="1"/>
  <c r="AU34" i="11" a="1"/>
  <c r="AU34" i="11" s="1"/>
  <c r="AU35" i="11" a="1"/>
  <c r="AU35" i="11" s="1"/>
  <c r="AU36" i="11" a="1"/>
  <c r="AU36" i="11" s="1"/>
  <c r="AU37" i="11" a="1"/>
  <c r="AU37" i="11" s="1"/>
  <c r="AU38" i="11" a="1"/>
  <c r="AU38" i="11" s="1"/>
  <c r="AU39" i="11" a="1"/>
  <c r="AU39" i="11" s="1"/>
  <c r="AU40" i="11" a="1"/>
  <c r="AU40" i="11" s="1"/>
  <c r="AU41" i="11" a="1"/>
  <c r="AU41" i="11" s="1"/>
  <c r="AU42" i="11" a="1"/>
  <c r="AU42" i="11" s="1"/>
  <c r="AU43" i="11" a="1"/>
  <c r="AU43" i="11" s="1"/>
  <c r="AU44" i="11" a="1"/>
  <c r="AU44" i="11" s="1"/>
  <c r="AU45" i="11" a="1"/>
  <c r="AU45" i="11" s="1"/>
  <c r="AU46" i="11" a="1"/>
  <c r="AU46" i="11" s="1"/>
  <c r="AU47" i="11" a="1"/>
  <c r="AU47" i="11" s="1"/>
  <c r="AU48" i="11" a="1"/>
  <c r="AU48" i="11" s="1"/>
  <c r="AU49" i="11" a="1"/>
  <c r="AU49" i="11" s="1"/>
  <c r="AU50" i="11" a="1"/>
  <c r="AU50" i="11" s="1"/>
  <c r="AU51" i="11" a="1"/>
  <c r="AU51" i="11" s="1"/>
  <c r="AU52" i="11" a="1"/>
  <c r="AU52" i="11" s="1"/>
  <c r="AU53" i="11" a="1"/>
  <c r="AU53" i="11" s="1"/>
  <c r="AU54" i="11" a="1"/>
  <c r="AU54" i="11" s="1"/>
  <c r="AU55" i="11" a="1"/>
  <c r="AU55" i="11" s="1"/>
  <c r="AU56" i="11" a="1"/>
  <c r="AU56" i="11" s="1"/>
  <c r="AU57" i="11" a="1"/>
  <c r="AU57" i="11" s="1"/>
  <c r="AU58" i="11" a="1"/>
  <c r="AU58" i="11" s="1"/>
  <c r="AU59" i="11" a="1"/>
  <c r="AU59" i="11" s="1"/>
  <c r="AU60" i="11" a="1"/>
  <c r="AU60" i="11" s="1"/>
  <c r="AU61" i="11" a="1"/>
  <c r="AU61" i="11" s="1"/>
  <c r="AU62" i="11" a="1"/>
  <c r="AU62" i="11" s="1"/>
  <c r="AU63" i="11" a="1"/>
  <c r="AU63" i="11" s="1"/>
  <c r="AU64" i="11" a="1"/>
  <c r="AU64" i="11" s="1"/>
  <c r="AU65" i="11" a="1"/>
  <c r="AU65" i="11" s="1"/>
  <c r="AU66" i="11" a="1"/>
  <c r="AU66" i="11" s="1"/>
  <c r="AU67" i="11" a="1"/>
  <c r="AU67" i="11" s="1"/>
  <c r="AU68" i="11" a="1"/>
  <c r="AU68" i="11" s="1"/>
  <c r="AU69" i="11" a="1"/>
  <c r="AU69" i="11" s="1"/>
  <c r="AU70" i="11" a="1"/>
  <c r="AU70" i="11" s="1"/>
  <c r="AU71" i="11" a="1"/>
  <c r="AU71" i="11" s="1"/>
  <c r="AU72" i="11" a="1"/>
  <c r="AU72" i="11" s="1"/>
  <c r="AU73" i="11" a="1"/>
  <c r="AU73" i="11" s="1"/>
  <c r="AU74" i="11" a="1"/>
  <c r="AU74" i="11" s="1"/>
  <c r="AU75" i="11" a="1"/>
  <c r="AU75" i="11" s="1"/>
  <c r="AU76" i="11" a="1"/>
  <c r="AU76" i="11" s="1"/>
  <c r="AU77" i="11" a="1"/>
  <c r="AU77" i="11" s="1"/>
  <c r="AU78" i="11" a="1"/>
  <c r="AU78" i="11" s="1"/>
  <c r="AU79" i="11" a="1"/>
  <c r="AU79" i="11" s="1"/>
  <c r="AU80" i="11" a="1"/>
  <c r="AU80" i="11" s="1"/>
  <c r="AU81" i="11" a="1"/>
  <c r="AU81" i="11" s="1"/>
  <c r="AU82" i="11" a="1"/>
  <c r="AU82" i="11" s="1"/>
  <c r="AU83" i="11" a="1"/>
  <c r="AU83" i="11" s="1"/>
  <c r="AU84" i="11" a="1"/>
  <c r="AU84" i="11" s="1"/>
  <c r="AU85" i="11" a="1"/>
  <c r="AU85" i="11" s="1"/>
  <c r="AU86" i="11" a="1"/>
  <c r="AU86" i="11" s="1"/>
  <c r="AU87" i="11" a="1"/>
  <c r="AU87" i="11" s="1"/>
  <c r="AU88" i="11" a="1"/>
  <c r="AU88" i="11" s="1"/>
  <c r="AU89" i="11" a="1"/>
  <c r="AU89" i="11" s="1"/>
  <c r="AU90" i="11" a="1"/>
  <c r="AU90" i="11" s="1"/>
  <c r="AU91" i="11" a="1"/>
  <c r="AU91" i="11" s="1"/>
  <c r="AU92" i="11" a="1"/>
  <c r="AU92" i="11" s="1"/>
  <c r="AU93" i="11" a="1"/>
  <c r="AU93" i="11" s="1"/>
  <c r="AU94" i="11" a="1"/>
  <c r="AU94" i="11" s="1"/>
  <c r="AU95" i="11" a="1"/>
  <c r="AU95" i="11" s="1"/>
  <c r="AU96" i="11" a="1"/>
  <c r="AU96" i="11" s="1"/>
  <c r="AU97" i="11" a="1"/>
  <c r="AU97" i="11" s="1"/>
  <c r="AU98" i="11" a="1"/>
  <c r="AU98" i="11" s="1"/>
  <c r="AU99" i="11" a="1"/>
  <c r="AU99" i="11" s="1"/>
  <c r="AU100" i="11" a="1"/>
  <c r="AU100" i="11" s="1"/>
  <c r="AU101" i="11" a="1"/>
  <c r="AU101" i="11" s="1"/>
  <c r="AU102" i="11" a="1"/>
  <c r="AU102" i="11" s="1"/>
  <c r="AU103" i="11" a="1"/>
  <c r="AU103" i="11" s="1"/>
  <c r="AU104" i="11" a="1"/>
  <c r="AU104" i="11" s="1"/>
  <c r="AU105" i="11" a="1"/>
  <c r="AU105" i="11" s="1"/>
  <c r="AU106" i="11" a="1"/>
  <c r="AU106" i="11" s="1"/>
  <c r="AU107" i="11" a="1"/>
  <c r="AU107" i="11" s="1"/>
  <c r="AU108" i="11" a="1"/>
  <c r="AU108" i="11" s="1"/>
  <c r="AU109" i="11" a="1"/>
  <c r="AU109" i="11" s="1"/>
  <c r="AU110" i="11" a="1"/>
  <c r="AU110" i="11" s="1"/>
  <c r="AU111" i="11" a="1"/>
  <c r="AU111" i="11" s="1"/>
  <c r="AU112" i="11" a="1"/>
  <c r="AU112" i="11" s="1"/>
  <c r="AU113" i="11" a="1"/>
  <c r="AU113" i="11" s="1"/>
  <c r="AU114" i="11" a="1"/>
  <c r="AU114" i="11" s="1"/>
  <c r="AU115" i="11" a="1"/>
  <c r="AU115" i="11" s="1"/>
  <c r="AU116" i="11" a="1"/>
  <c r="AU116" i="11" s="1"/>
  <c r="AU117" i="11" a="1"/>
  <c r="AU117" i="11" s="1"/>
  <c r="AU118" i="11" a="1"/>
  <c r="AU118" i="11" s="1"/>
  <c r="AU119" i="11" a="1"/>
  <c r="AU119" i="11" s="1"/>
  <c r="AU120" i="11" a="1"/>
  <c r="AU120" i="11" s="1"/>
  <c r="AU121" i="11" a="1"/>
  <c r="AU121" i="11" s="1"/>
  <c r="AU122" i="11" a="1"/>
  <c r="AU122" i="11" s="1"/>
  <c r="AU123" i="11" a="1"/>
  <c r="AU123" i="11" s="1"/>
  <c r="AU124" i="11" a="1"/>
  <c r="AU124" i="11" s="1"/>
  <c r="AU125" i="11" a="1"/>
  <c r="AU125" i="11" s="1"/>
  <c r="AU126" i="11" a="1"/>
  <c r="AU126" i="11" s="1"/>
  <c r="AU127" i="11" a="1"/>
  <c r="AU127" i="11" s="1"/>
  <c r="AU128" i="11" a="1"/>
  <c r="AU128" i="11" s="1"/>
  <c r="AU129" i="11" a="1"/>
  <c r="AU129" i="11" s="1"/>
  <c r="AU130" i="11" a="1"/>
  <c r="AU130" i="11" s="1"/>
  <c r="AU131" i="11" a="1"/>
  <c r="AU131" i="11" s="1"/>
  <c r="AU132" i="11" a="1"/>
  <c r="AU132" i="11" s="1"/>
  <c r="AU133" i="11" a="1"/>
  <c r="AU133" i="11" s="1"/>
  <c r="AU134" i="11" a="1"/>
  <c r="AU134" i="11" s="1"/>
  <c r="AU135" i="11" a="1"/>
  <c r="AU135" i="11" s="1"/>
  <c r="AU136" i="11" a="1"/>
  <c r="AU136" i="11" s="1"/>
  <c r="AU137" i="11" a="1"/>
  <c r="AU137" i="11" s="1"/>
  <c r="AU138" i="11" a="1"/>
  <c r="AU138" i="11" s="1"/>
  <c r="AU139" i="11" a="1"/>
  <c r="AU139" i="11" s="1"/>
  <c r="AU140" i="11" a="1"/>
  <c r="AU140" i="11" s="1"/>
  <c r="AU141" i="11" a="1"/>
  <c r="AU141" i="11" s="1"/>
  <c r="AU142" i="11" a="1"/>
  <c r="AU142" i="11" s="1"/>
  <c r="AU143" i="11" a="1"/>
  <c r="AU143" i="11" s="1"/>
  <c r="AU144" i="11" a="1"/>
  <c r="AU144" i="11" s="1"/>
  <c r="AU145" i="11" a="1"/>
  <c r="AU145" i="11" s="1"/>
  <c r="AU146" i="11" a="1"/>
  <c r="AU146" i="11" s="1"/>
  <c r="AU147" i="11" a="1"/>
  <c r="AU147" i="11" s="1"/>
  <c r="AU148" i="11" a="1"/>
  <c r="AU148" i="11" s="1"/>
  <c r="AU149" i="11" a="1"/>
  <c r="AU149" i="11" s="1"/>
  <c r="AU150" i="11" a="1"/>
  <c r="AU150" i="11" s="1"/>
  <c r="AU151" i="11" a="1"/>
  <c r="AU151" i="11" s="1"/>
  <c r="AU152" i="11" a="1"/>
  <c r="AU152" i="11" s="1"/>
  <c r="AU153" i="11" a="1"/>
  <c r="AU153" i="11" s="1"/>
  <c r="AU154" i="11" a="1"/>
  <c r="AU154" i="11" s="1"/>
  <c r="AU155" i="11" a="1"/>
  <c r="AU155" i="11" s="1"/>
  <c r="AU156" i="11" a="1"/>
  <c r="AU156" i="11" s="1"/>
  <c r="AU157" i="11" a="1"/>
  <c r="AU157" i="11" s="1"/>
  <c r="AU158" i="11" a="1"/>
  <c r="AU158" i="11" s="1"/>
  <c r="AU159" i="11" a="1"/>
  <c r="AU159" i="11" s="1"/>
  <c r="AU160" i="11" a="1"/>
  <c r="AU160" i="11" s="1"/>
  <c r="AU161" i="11" a="1"/>
  <c r="AU161" i="11" s="1"/>
  <c r="AU162" i="11" a="1"/>
  <c r="AU162" i="11" s="1"/>
  <c r="AU163" i="11" a="1"/>
  <c r="AU163" i="11" s="1"/>
  <c r="AU164" i="11" a="1"/>
  <c r="AU164" i="11" s="1"/>
  <c r="AU165" i="11" a="1"/>
  <c r="AU165" i="11" s="1"/>
  <c r="AU166" i="11" a="1"/>
  <c r="AU166" i="11" s="1"/>
  <c r="AU167" i="11" a="1"/>
  <c r="AU167" i="11" s="1"/>
  <c r="AU168" i="11" a="1"/>
  <c r="AU168" i="11" s="1"/>
  <c r="AU169" i="11" a="1"/>
  <c r="AU169" i="11" s="1"/>
  <c r="AU170" i="11" a="1"/>
  <c r="AU170" i="11" s="1"/>
  <c r="AU171" i="11" a="1"/>
  <c r="AU171" i="11" s="1"/>
  <c r="AU172" i="11" a="1"/>
  <c r="AU172" i="11" s="1"/>
  <c r="AU173" i="11" a="1"/>
  <c r="AU173" i="11" s="1"/>
  <c r="AU174" i="11" a="1"/>
  <c r="AU174" i="11" s="1"/>
  <c r="AU175" i="11" a="1"/>
  <c r="AU175" i="11" s="1"/>
  <c r="AU176" i="11" a="1"/>
  <c r="AU176" i="11" s="1"/>
  <c r="AU177" i="11" a="1"/>
  <c r="AU177" i="11" s="1"/>
  <c r="AU178" i="11" a="1"/>
  <c r="AU178" i="11" s="1"/>
  <c r="AU179" i="11" a="1"/>
  <c r="AU179" i="11" s="1"/>
  <c r="AU180" i="11" a="1"/>
  <c r="AU180" i="11" s="1"/>
  <c r="AU181" i="11" a="1"/>
  <c r="AU181" i="11" s="1"/>
  <c r="AU182" i="11" a="1"/>
  <c r="AU182" i="11" s="1"/>
  <c r="AU183" i="11" a="1"/>
  <c r="AU183" i="11" s="1"/>
  <c r="AU184" i="11" a="1"/>
  <c r="AU184" i="11" s="1"/>
  <c r="AU185" i="11" a="1"/>
  <c r="AU185" i="11" s="1"/>
  <c r="AU186" i="11" a="1"/>
  <c r="AU186" i="11" s="1"/>
  <c r="AU187" i="11" a="1"/>
  <c r="AU187" i="11" s="1"/>
  <c r="AU188" i="11" a="1"/>
  <c r="AU188" i="11" s="1"/>
  <c r="AU189" i="11" a="1"/>
  <c r="AU189" i="11" s="1"/>
  <c r="AU190" i="11" a="1"/>
  <c r="AU190" i="11" s="1"/>
  <c r="AU191" i="11" a="1"/>
  <c r="AU191" i="11" s="1"/>
  <c r="AU192" i="11" a="1"/>
  <c r="AU192" i="11" s="1"/>
  <c r="AU193" i="11" a="1"/>
  <c r="AU193" i="11" s="1"/>
  <c r="AU194" i="11" a="1"/>
  <c r="AU194" i="11" s="1"/>
  <c r="AU195" i="11" a="1"/>
  <c r="AU195" i="11" s="1"/>
  <c r="AU196" i="11" a="1"/>
  <c r="AU196" i="11" s="1"/>
  <c r="AU197" i="11" a="1"/>
  <c r="AU197" i="11" s="1"/>
  <c r="AU198" i="11" a="1"/>
  <c r="AU198" i="11" s="1"/>
  <c r="AU199" i="11" a="1"/>
  <c r="AU199" i="11" s="1"/>
  <c r="AU200" i="11" a="1"/>
  <c r="AU200" i="11" s="1"/>
  <c r="AU201" i="11" a="1"/>
  <c r="AU201" i="11" s="1"/>
  <c r="AU2" i="11" a="1"/>
  <c r="AU2" i="11" s="1"/>
  <c r="AT3" i="11" a="1"/>
  <c r="AT3" i="11" s="1"/>
  <c r="AT4" i="11" a="1"/>
  <c r="AT4" i="11" s="1"/>
  <c r="AT5" i="11" a="1"/>
  <c r="AT5" i="11" s="1"/>
  <c r="AT6" i="11" a="1"/>
  <c r="AT6" i="11" s="1"/>
  <c r="AT7" i="11" a="1"/>
  <c r="AT7" i="11" s="1"/>
  <c r="AT8" i="11" a="1"/>
  <c r="AT8" i="11" s="1"/>
  <c r="AT9" i="11" a="1"/>
  <c r="AT9" i="11" s="1"/>
  <c r="AT10" i="11" a="1"/>
  <c r="AT10" i="11" s="1"/>
  <c r="AT11" i="11" a="1"/>
  <c r="AT11" i="11" s="1"/>
  <c r="AT12" i="11" a="1"/>
  <c r="AT12" i="11" s="1"/>
  <c r="AT13" i="11" a="1"/>
  <c r="AT13" i="11" s="1"/>
  <c r="AT14" i="11" a="1"/>
  <c r="AT14" i="11" s="1"/>
  <c r="AT15" i="11" a="1"/>
  <c r="AT15" i="11" s="1"/>
  <c r="AT16" i="11" a="1"/>
  <c r="AT16" i="11" s="1"/>
  <c r="AT17" i="11" a="1"/>
  <c r="AT17" i="11" s="1"/>
  <c r="AT18" i="11" a="1"/>
  <c r="AT18" i="11" s="1"/>
  <c r="AT19" i="11" a="1"/>
  <c r="AT19" i="11" s="1"/>
  <c r="AT20" i="11" a="1"/>
  <c r="AT20" i="11" s="1"/>
  <c r="AT21" i="11" a="1"/>
  <c r="AT21" i="11" s="1"/>
  <c r="AT22" i="11" a="1"/>
  <c r="AT22" i="11" s="1"/>
  <c r="AT23" i="11" a="1"/>
  <c r="AT23" i="11" s="1"/>
  <c r="AT24" i="11" a="1"/>
  <c r="AT24" i="11" s="1"/>
  <c r="AT25" i="11" a="1"/>
  <c r="AT25" i="11" s="1"/>
  <c r="AT26" i="11" a="1"/>
  <c r="AT26" i="11" s="1"/>
  <c r="AT27" i="11" a="1"/>
  <c r="AT27" i="11" s="1"/>
  <c r="AT28" i="11" a="1"/>
  <c r="AT28" i="11" s="1"/>
  <c r="AT29" i="11" a="1"/>
  <c r="AT29" i="11" s="1"/>
  <c r="AT30" i="11" a="1"/>
  <c r="AT30" i="11" s="1"/>
  <c r="AT31" i="11" a="1"/>
  <c r="AT31" i="11" s="1"/>
  <c r="AT32" i="11" a="1"/>
  <c r="AT32" i="11" s="1"/>
  <c r="AT33" i="11" a="1"/>
  <c r="AT33" i="11" s="1"/>
  <c r="AT34" i="11" a="1"/>
  <c r="AT34" i="11" s="1"/>
  <c r="AT35" i="11" a="1"/>
  <c r="AT35" i="11" s="1"/>
  <c r="AT36" i="11" a="1"/>
  <c r="AT36" i="11" s="1"/>
  <c r="AT37" i="11" a="1"/>
  <c r="AT37" i="11" s="1"/>
  <c r="AT38" i="11" a="1"/>
  <c r="AT38" i="11" s="1"/>
  <c r="AT39" i="11" a="1"/>
  <c r="AT39" i="11" s="1"/>
  <c r="AT40" i="11" a="1"/>
  <c r="AT40" i="11" s="1"/>
  <c r="AT41" i="11" a="1"/>
  <c r="AT41" i="11" s="1"/>
  <c r="AT42" i="11" a="1"/>
  <c r="AT42" i="11" s="1"/>
  <c r="AT43" i="11" a="1"/>
  <c r="AT43" i="11" s="1"/>
  <c r="AT44" i="11" a="1"/>
  <c r="AT44" i="11" s="1"/>
  <c r="AT45" i="11" a="1"/>
  <c r="AT45" i="11" s="1"/>
  <c r="AT46" i="11" a="1"/>
  <c r="AT46" i="11" s="1"/>
  <c r="AT47" i="11" a="1"/>
  <c r="AT47" i="11" s="1"/>
  <c r="AT48" i="11" a="1"/>
  <c r="AT48" i="11" s="1"/>
  <c r="AT49" i="11" a="1"/>
  <c r="AT49" i="11" s="1"/>
  <c r="AT50" i="11" a="1"/>
  <c r="AT50" i="11" s="1"/>
  <c r="AT51" i="11" a="1"/>
  <c r="AT51" i="11" s="1"/>
  <c r="AT52" i="11" a="1"/>
  <c r="AT52" i="11" s="1"/>
  <c r="AT53" i="11" a="1"/>
  <c r="AT53" i="11" s="1"/>
  <c r="AT54" i="11" a="1"/>
  <c r="AT54" i="11" s="1"/>
  <c r="AT55" i="11" a="1"/>
  <c r="AT55" i="11" s="1"/>
  <c r="AT56" i="11" a="1"/>
  <c r="AT56" i="11" s="1"/>
  <c r="AT57" i="11" a="1"/>
  <c r="AT57" i="11" s="1"/>
  <c r="AT58" i="11" a="1"/>
  <c r="AT58" i="11" s="1"/>
  <c r="AT59" i="11" a="1"/>
  <c r="AT59" i="11" s="1"/>
  <c r="AT60" i="11" a="1"/>
  <c r="AT60" i="11" s="1"/>
  <c r="AT61" i="11" a="1"/>
  <c r="AT61" i="11" s="1"/>
  <c r="AT62" i="11" a="1"/>
  <c r="AT62" i="11" s="1"/>
  <c r="AT63" i="11" a="1"/>
  <c r="AT63" i="11" s="1"/>
  <c r="AT64" i="11" a="1"/>
  <c r="AT64" i="11" s="1"/>
  <c r="AT65" i="11" a="1"/>
  <c r="AT65" i="11" s="1"/>
  <c r="AT66" i="11" a="1"/>
  <c r="AT66" i="11" s="1"/>
  <c r="AT67" i="11" a="1"/>
  <c r="AT67" i="11" s="1"/>
  <c r="AT68" i="11" a="1"/>
  <c r="AT68" i="11" s="1"/>
  <c r="AT69" i="11" a="1"/>
  <c r="AT69" i="11" s="1"/>
  <c r="AT70" i="11" a="1"/>
  <c r="AT70" i="11" s="1"/>
  <c r="AT71" i="11" a="1"/>
  <c r="AT71" i="11" s="1"/>
  <c r="AT72" i="11" a="1"/>
  <c r="AT72" i="11" s="1"/>
  <c r="AT73" i="11" a="1"/>
  <c r="AT73" i="11" s="1"/>
  <c r="AT74" i="11" a="1"/>
  <c r="AT74" i="11" s="1"/>
  <c r="AT75" i="11" a="1"/>
  <c r="AT75" i="11" s="1"/>
  <c r="AT76" i="11" a="1"/>
  <c r="AT76" i="11" s="1"/>
  <c r="AT77" i="11" a="1"/>
  <c r="AT77" i="11" s="1"/>
  <c r="AT78" i="11" a="1"/>
  <c r="AT78" i="11" s="1"/>
  <c r="AT79" i="11" a="1"/>
  <c r="AT79" i="11" s="1"/>
  <c r="AT80" i="11" a="1"/>
  <c r="AT80" i="11" s="1"/>
  <c r="AT81" i="11" a="1"/>
  <c r="AT81" i="11" s="1"/>
  <c r="AT82" i="11" a="1"/>
  <c r="AT82" i="11" s="1"/>
  <c r="AT83" i="11" a="1"/>
  <c r="AT83" i="11" s="1"/>
  <c r="AT84" i="11" a="1"/>
  <c r="AT84" i="11" s="1"/>
  <c r="AT85" i="11" a="1"/>
  <c r="AT85" i="11" s="1"/>
  <c r="AT86" i="11" a="1"/>
  <c r="AT86" i="11" s="1"/>
  <c r="AT87" i="11" a="1"/>
  <c r="AT87" i="11" s="1"/>
  <c r="AT88" i="11" a="1"/>
  <c r="AT88" i="11" s="1"/>
  <c r="AT89" i="11" a="1"/>
  <c r="AT89" i="11" s="1"/>
  <c r="AT90" i="11" a="1"/>
  <c r="AT90" i="11" s="1"/>
  <c r="AT91" i="11" a="1"/>
  <c r="AT91" i="11" s="1"/>
  <c r="AT92" i="11" a="1"/>
  <c r="AT92" i="11" s="1"/>
  <c r="AT93" i="11" a="1"/>
  <c r="AT93" i="11" s="1"/>
  <c r="AT94" i="11" a="1"/>
  <c r="AT94" i="11" s="1"/>
  <c r="AT95" i="11" a="1"/>
  <c r="AT95" i="11" s="1"/>
  <c r="AT96" i="11" a="1"/>
  <c r="AT96" i="11" s="1"/>
  <c r="AT97" i="11" a="1"/>
  <c r="AT97" i="11" s="1"/>
  <c r="AT98" i="11" a="1"/>
  <c r="AT98" i="11" s="1"/>
  <c r="AT99" i="11" a="1"/>
  <c r="AT99" i="11" s="1"/>
  <c r="AT100" i="11" a="1"/>
  <c r="AT100" i="11" s="1"/>
  <c r="AT101" i="11" a="1"/>
  <c r="AT101" i="11" s="1"/>
  <c r="AT102" i="11" a="1"/>
  <c r="AT102" i="11" s="1"/>
  <c r="AT103" i="11" a="1"/>
  <c r="AT103" i="11" s="1"/>
  <c r="AT104" i="11" a="1"/>
  <c r="AT104" i="11" s="1"/>
  <c r="AT105" i="11" a="1"/>
  <c r="AT105" i="11" s="1"/>
  <c r="AT106" i="11" a="1"/>
  <c r="AT106" i="11" s="1"/>
  <c r="AT107" i="11" a="1"/>
  <c r="AT107" i="11" s="1"/>
  <c r="AT108" i="11" a="1"/>
  <c r="AT108" i="11" s="1"/>
  <c r="AT109" i="11" a="1"/>
  <c r="AT109" i="11" s="1"/>
  <c r="AT110" i="11" a="1"/>
  <c r="AT110" i="11" s="1"/>
  <c r="AT111" i="11" a="1"/>
  <c r="AT111" i="11" s="1"/>
  <c r="AT112" i="11" a="1"/>
  <c r="AT112" i="11" s="1"/>
  <c r="AT113" i="11" a="1"/>
  <c r="AT113" i="11" s="1"/>
  <c r="AT114" i="11" a="1"/>
  <c r="AT114" i="11" s="1"/>
  <c r="AT115" i="11" a="1"/>
  <c r="AT115" i="11" s="1"/>
  <c r="AT116" i="11" a="1"/>
  <c r="AT116" i="11" s="1"/>
  <c r="AT117" i="11" a="1"/>
  <c r="AT117" i="11" s="1"/>
  <c r="AT118" i="11" a="1"/>
  <c r="AT118" i="11" s="1"/>
  <c r="AT119" i="11" a="1"/>
  <c r="AT119" i="11" s="1"/>
  <c r="AT120" i="11" a="1"/>
  <c r="AT120" i="11" s="1"/>
  <c r="AT121" i="11" a="1"/>
  <c r="AT121" i="11" s="1"/>
  <c r="AT122" i="11" a="1"/>
  <c r="AT122" i="11" s="1"/>
  <c r="AT123" i="11" a="1"/>
  <c r="AT123" i="11" s="1"/>
  <c r="AT124" i="11" a="1"/>
  <c r="AT124" i="11" s="1"/>
  <c r="AT125" i="11" a="1"/>
  <c r="AT125" i="11" s="1"/>
  <c r="AT126" i="11" a="1"/>
  <c r="AT126" i="11" s="1"/>
  <c r="AT127" i="11" a="1"/>
  <c r="AT127" i="11" s="1"/>
  <c r="AT128" i="11" a="1"/>
  <c r="AT128" i="11" s="1"/>
  <c r="AT129" i="11" a="1"/>
  <c r="AT129" i="11" s="1"/>
  <c r="AT130" i="11" a="1"/>
  <c r="AT130" i="11" s="1"/>
  <c r="AT131" i="11" a="1"/>
  <c r="AT131" i="11" s="1"/>
  <c r="AT132" i="11" a="1"/>
  <c r="AT132" i="11" s="1"/>
  <c r="AT133" i="11" a="1"/>
  <c r="AT133" i="11" s="1"/>
  <c r="AT134" i="11" a="1"/>
  <c r="AT134" i="11" s="1"/>
  <c r="AT135" i="11" a="1"/>
  <c r="AT135" i="11" s="1"/>
  <c r="AT136" i="11" a="1"/>
  <c r="AT136" i="11" s="1"/>
  <c r="AT137" i="11" a="1"/>
  <c r="AT137" i="11" s="1"/>
  <c r="AT138" i="11" a="1"/>
  <c r="AT138" i="11" s="1"/>
  <c r="AT139" i="11" a="1"/>
  <c r="AT139" i="11" s="1"/>
  <c r="AT140" i="11" a="1"/>
  <c r="AT140" i="11" s="1"/>
  <c r="AT141" i="11" a="1"/>
  <c r="AT141" i="11" s="1"/>
  <c r="AT142" i="11" a="1"/>
  <c r="AT142" i="11" s="1"/>
  <c r="AT143" i="11" a="1"/>
  <c r="AT143" i="11" s="1"/>
  <c r="AT144" i="11" a="1"/>
  <c r="AT144" i="11" s="1"/>
  <c r="AT145" i="11" a="1"/>
  <c r="AT145" i="11" s="1"/>
  <c r="AT146" i="11" a="1"/>
  <c r="AT146" i="11" s="1"/>
  <c r="AT147" i="11" a="1"/>
  <c r="AT147" i="11" s="1"/>
  <c r="AT148" i="11" a="1"/>
  <c r="AT148" i="11" s="1"/>
  <c r="AT149" i="11" a="1"/>
  <c r="AT149" i="11" s="1"/>
  <c r="AT150" i="11" a="1"/>
  <c r="AT150" i="11" s="1"/>
  <c r="AT151" i="11" a="1"/>
  <c r="AT151" i="11" s="1"/>
  <c r="AT152" i="11" a="1"/>
  <c r="AT152" i="11" s="1"/>
  <c r="AT153" i="11" a="1"/>
  <c r="AT153" i="11" s="1"/>
  <c r="AT154" i="11" a="1"/>
  <c r="AT154" i="11" s="1"/>
  <c r="AT155" i="11" a="1"/>
  <c r="AT155" i="11" s="1"/>
  <c r="AT156" i="11" a="1"/>
  <c r="AT156" i="11" s="1"/>
  <c r="AT157" i="11" a="1"/>
  <c r="AT157" i="11" s="1"/>
  <c r="AT158" i="11" a="1"/>
  <c r="AT158" i="11" s="1"/>
  <c r="AT159" i="11" a="1"/>
  <c r="AT159" i="11" s="1"/>
  <c r="AT160" i="11" a="1"/>
  <c r="AT160" i="11" s="1"/>
  <c r="AT161" i="11" a="1"/>
  <c r="AT161" i="11" s="1"/>
  <c r="AT162" i="11" a="1"/>
  <c r="AT162" i="11" s="1"/>
  <c r="AT163" i="11" a="1"/>
  <c r="AT163" i="11" s="1"/>
  <c r="AT164" i="11" a="1"/>
  <c r="AT164" i="11" s="1"/>
  <c r="AT165" i="11" a="1"/>
  <c r="AT165" i="11" s="1"/>
  <c r="AT166" i="11" a="1"/>
  <c r="AT166" i="11" s="1"/>
  <c r="AT167" i="11" a="1"/>
  <c r="AT167" i="11" s="1"/>
  <c r="AT168" i="11" a="1"/>
  <c r="AT168" i="11" s="1"/>
  <c r="AT169" i="11" a="1"/>
  <c r="AT169" i="11" s="1"/>
  <c r="AT170" i="11" a="1"/>
  <c r="AT170" i="11" s="1"/>
  <c r="AT171" i="11" a="1"/>
  <c r="AT171" i="11" s="1"/>
  <c r="AT172" i="11" a="1"/>
  <c r="AT172" i="11" s="1"/>
  <c r="AT173" i="11" a="1"/>
  <c r="AT173" i="11" s="1"/>
  <c r="AT174" i="11" a="1"/>
  <c r="AT174" i="11" s="1"/>
  <c r="AT175" i="11" a="1"/>
  <c r="AT175" i="11" s="1"/>
  <c r="AT176" i="11" a="1"/>
  <c r="AT176" i="11" s="1"/>
  <c r="AT177" i="11" a="1"/>
  <c r="AT177" i="11" s="1"/>
  <c r="AT178" i="11" a="1"/>
  <c r="AT178" i="11" s="1"/>
  <c r="AT179" i="11" a="1"/>
  <c r="AT179" i="11" s="1"/>
  <c r="AT180" i="11" a="1"/>
  <c r="AT180" i="11" s="1"/>
  <c r="AT181" i="11" a="1"/>
  <c r="AT181" i="11" s="1"/>
  <c r="AT182" i="11" a="1"/>
  <c r="AT182" i="11" s="1"/>
  <c r="AT183" i="11" a="1"/>
  <c r="AT183" i="11" s="1"/>
  <c r="AT184" i="11" a="1"/>
  <c r="AT184" i="11" s="1"/>
  <c r="AT185" i="11" a="1"/>
  <c r="AT185" i="11" s="1"/>
  <c r="AT186" i="11" a="1"/>
  <c r="AT186" i="11" s="1"/>
  <c r="AT187" i="11" a="1"/>
  <c r="AT187" i="11" s="1"/>
  <c r="AT188" i="11" a="1"/>
  <c r="AT188" i="11" s="1"/>
  <c r="AT189" i="11" a="1"/>
  <c r="AT189" i="11" s="1"/>
  <c r="AT190" i="11" a="1"/>
  <c r="AT190" i="11" s="1"/>
  <c r="AT191" i="11" a="1"/>
  <c r="AT191" i="11" s="1"/>
  <c r="AT192" i="11" a="1"/>
  <c r="AT192" i="11" s="1"/>
  <c r="AT193" i="11" a="1"/>
  <c r="AT193" i="11" s="1"/>
  <c r="AT194" i="11" a="1"/>
  <c r="AT194" i="11" s="1"/>
  <c r="AT195" i="11" a="1"/>
  <c r="AT195" i="11" s="1"/>
  <c r="AT196" i="11" a="1"/>
  <c r="AT196" i="11" s="1"/>
  <c r="AT197" i="11" a="1"/>
  <c r="AT197" i="11" s="1"/>
  <c r="AT198" i="11" a="1"/>
  <c r="AT198" i="11" s="1"/>
  <c r="AT199" i="11" a="1"/>
  <c r="AT199" i="11" s="1"/>
  <c r="AT200" i="11" a="1"/>
  <c r="AT200" i="11" s="1"/>
  <c r="AT201" i="11" a="1"/>
  <c r="AT201" i="11" s="1"/>
  <c r="AT2" i="11" a="1"/>
  <c r="AT2" i="11" s="1"/>
  <c r="AS3" i="11" a="1"/>
  <c r="AS3" i="11" s="1"/>
  <c r="AS4" i="11" a="1"/>
  <c r="AS4" i="11" s="1"/>
  <c r="AS5" i="11" a="1"/>
  <c r="AS5" i="11" s="1"/>
  <c r="AS6" i="11" a="1"/>
  <c r="AS6" i="11" s="1"/>
  <c r="AS7" i="11" a="1"/>
  <c r="AS7" i="11" s="1"/>
  <c r="AS8" i="11" a="1"/>
  <c r="AS8" i="11" s="1"/>
  <c r="AS9" i="11" a="1"/>
  <c r="AS9" i="11" s="1"/>
  <c r="AS10" i="11" a="1"/>
  <c r="AS10" i="11" s="1"/>
  <c r="AS11" i="11" a="1"/>
  <c r="AS11" i="11" s="1"/>
  <c r="AS12" i="11" a="1"/>
  <c r="AS12" i="11" s="1"/>
  <c r="AS13" i="11" a="1"/>
  <c r="AS13" i="11" s="1"/>
  <c r="AS14" i="11" a="1"/>
  <c r="AS14" i="11" s="1"/>
  <c r="AS15" i="11" a="1"/>
  <c r="AS15" i="11" s="1"/>
  <c r="AS16" i="11" a="1"/>
  <c r="AS16" i="11" s="1"/>
  <c r="AS17" i="11" a="1"/>
  <c r="AS17" i="11" s="1"/>
  <c r="AS18" i="11" a="1"/>
  <c r="AS18" i="11" s="1"/>
  <c r="AS19" i="11" a="1"/>
  <c r="AS19" i="11" s="1"/>
  <c r="AS20" i="11" a="1"/>
  <c r="AS20" i="11" s="1"/>
  <c r="AS21" i="11" a="1"/>
  <c r="AS21" i="11" s="1"/>
  <c r="AS22" i="11" a="1"/>
  <c r="AS22" i="11" s="1"/>
  <c r="AS23" i="11" a="1"/>
  <c r="AS23" i="11" s="1"/>
  <c r="AS24" i="11" a="1"/>
  <c r="AS24" i="11" s="1"/>
  <c r="AS25" i="11" a="1"/>
  <c r="AS25" i="11" s="1"/>
  <c r="AS26" i="11" a="1"/>
  <c r="AS26" i="11" s="1"/>
  <c r="AS27" i="11" a="1"/>
  <c r="AS27" i="11" s="1"/>
  <c r="AS28" i="11" a="1"/>
  <c r="AS28" i="11" s="1"/>
  <c r="AS29" i="11" a="1"/>
  <c r="AS29" i="11" s="1"/>
  <c r="AS30" i="11" a="1"/>
  <c r="AS30" i="11" s="1"/>
  <c r="AS31" i="11" a="1"/>
  <c r="AS31" i="11" s="1"/>
  <c r="AS32" i="11" a="1"/>
  <c r="AS32" i="11" s="1"/>
  <c r="AS33" i="11" a="1"/>
  <c r="AS33" i="11" s="1"/>
  <c r="AS34" i="11" a="1"/>
  <c r="AS34" i="11" s="1"/>
  <c r="AS35" i="11" a="1"/>
  <c r="AS35" i="11" s="1"/>
  <c r="AS36" i="11" a="1"/>
  <c r="AS36" i="11" s="1"/>
  <c r="AS37" i="11" a="1"/>
  <c r="AS37" i="11" s="1"/>
  <c r="AS38" i="11" a="1"/>
  <c r="AS38" i="11" s="1"/>
  <c r="AS39" i="11" a="1"/>
  <c r="AS39" i="11" s="1"/>
  <c r="AS40" i="11" a="1"/>
  <c r="AS40" i="11" s="1"/>
  <c r="AS41" i="11" a="1"/>
  <c r="AS41" i="11" s="1"/>
  <c r="AS42" i="11" a="1"/>
  <c r="AS42" i="11" s="1"/>
  <c r="AS43" i="11" a="1"/>
  <c r="AS43" i="11" s="1"/>
  <c r="AS44" i="11" a="1"/>
  <c r="AS44" i="11" s="1"/>
  <c r="AS45" i="11" a="1"/>
  <c r="AS45" i="11" s="1"/>
  <c r="AS46" i="11" a="1"/>
  <c r="AS46" i="11" s="1"/>
  <c r="AS47" i="11" a="1"/>
  <c r="AS47" i="11" s="1"/>
  <c r="AS48" i="11" a="1"/>
  <c r="AS48" i="11" s="1"/>
  <c r="AS49" i="11" a="1"/>
  <c r="AS49" i="11" s="1"/>
  <c r="AS50" i="11" a="1"/>
  <c r="AS50" i="11" s="1"/>
  <c r="AS51" i="11" a="1"/>
  <c r="AS51" i="11" s="1"/>
  <c r="AS52" i="11" a="1"/>
  <c r="AS52" i="11" s="1"/>
  <c r="AS53" i="11" a="1"/>
  <c r="AS53" i="11" s="1"/>
  <c r="AS54" i="11" a="1"/>
  <c r="AS54" i="11" s="1"/>
  <c r="AS55" i="11" a="1"/>
  <c r="AS55" i="11" s="1"/>
  <c r="AS56" i="11" a="1"/>
  <c r="AS56" i="11" s="1"/>
  <c r="AS57" i="11" a="1"/>
  <c r="AS57" i="11" s="1"/>
  <c r="AS58" i="11" a="1"/>
  <c r="AS58" i="11" s="1"/>
  <c r="AS59" i="11" a="1"/>
  <c r="AS59" i="11" s="1"/>
  <c r="AS60" i="11" a="1"/>
  <c r="AS60" i="11" s="1"/>
  <c r="AS61" i="11" a="1"/>
  <c r="AS61" i="11" s="1"/>
  <c r="AS62" i="11" a="1"/>
  <c r="AS62" i="11" s="1"/>
  <c r="AS63" i="11" a="1"/>
  <c r="AS63" i="11" s="1"/>
  <c r="AS64" i="11" a="1"/>
  <c r="AS64" i="11" s="1"/>
  <c r="AS65" i="11" a="1"/>
  <c r="AS65" i="11" s="1"/>
  <c r="AS66" i="11" a="1"/>
  <c r="AS66" i="11" s="1"/>
  <c r="AS67" i="11" a="1"/>
  <c r="AS67" i="11" s="1"/>
  <c r="AS68" i="11" a="1"/>
  <c r="AS68" i="11" s="1"/>
  <c r="AS69" i="11" a="1"/>
  <c r="AS69" i="11" s="1"/>
  <c r="AS70" i="11" a="1"/>
  <c r="AS70" i="11" s="1"/>
  <c r="AS71" i="11" a="1"/>
  <c r="AS71" i="11" s="1"/>
  <c r="AS72" i="11" a="1"/>
  <c r="AS72" i="11" s="1"/>
  <c r="AS73" i="11" a="1"/>
  <c r="AS73" i="11" s="1"/>
  <c r="AS74" i="11" a="1"/>
  <c r="AS74" i="11" s="1"/>
  <c r="AS75" i="11" a="1"/>
  <c r="AS75" i="11" s="1"/>
  <c r="AS76" i="11" a="1"/>
  <c r="AS76" i="11" s="1"/>
  <c r="AS77" i="11" a="1"/>
  <c r="AS77" i="11" s="1"/>
  <c r="AS78" i="11" a="1"/>
  <c r="AS78" i="11" s="1"/>
  <c r="AS79" i="11" a="1"/>
  <c r="AS79" i="11" s="1"/>
  <c r="AS80" i="11" a="1"/>
  <c r="AS80" i="11" s="1"/>
  <c r="AS81" i="11" a="1"/>
  <c r="AS81" i="11" s="1"/>
  <c r="AS82" i="11" a="1"/>
  <c r="AS82" i="11" s="1"/>
  <c r="AS83" i="11" a="1"/>
  <c r="AS83" i="11" s="1"/>
  <c r="AS84" i="11" a="1"/>
  <c r="AS84" i="11" s="1"/>
  <c r="AS85" i="11" a="1"/>
  <c r="AS85" i="11" s="1"/>
  <c r="AS86" i="11" a="1"/>
  <c r="AS86" i="11" s="1"/>
  <c r="AS87" i="11" a="1"/>
  <c r="AS87" i="11" s="1"/>
  <c r="AS88" i="11" a="1"/>
  <c r="AS88" i="11" s="1"/>
  <c r="AS89" i="11" a="1"/>
  <c r="AS89" i="11" s="1"/>
  <c r="AS90" i="11" a="1"/>
  <c r="AS90" i="11" s="1"/>
  <c r="AS91" i="11" a="1"/>
  <c r="AS91" i="11" s="1"/>
  <c r="AS92" i="11" a="1"/>
  <c r="AS92" i="11" s="1"/>
  <c r="AS93" i="11" a="1"/>
  <c r="AS93" i="11" s="1"/>
  <c r="AS94" i="11" a="1"/>
  <c r="AS94" i="11" s="1"/>
  <c r="AS95" i="11" a="1"/>
  <c r="AS95" i="11" s="1"/>
  <c r="AS96" i="11" a="1"/>
  <c r="AS96" i="11" s="1"/>
  <c r="AS97" i="11" a="1"/>
  <c r="AS97" i="11" s="1"/>
  <c r="AS98" i="11" a="1"/>
  <c r="AS98" i="11" s="1"/>
  <c r="AS99" i="11" a="1"/>
  <c r="AS99" i="11" s="1"/>
  <c r="AS100" i="11" a="1"/>
  <c r="AS100" i="11" s="1"/>
  <c r="AS101" i="11" a="1"/>
  <c r="AS101" i="11" s="1"/>
  <c r="AS102" i="11" a="1"/>
  <c r="AS102" i="11" s="1"/>
  <c r="AS103" i="11" a="1"/>
  <c r="AS103" i="11" s="1"/>
  <c r="AS104" i="11" a="1"/>
  <c r="AS104" i="11" s="1"/>
  <c r="AS105" i="11" a="1"/>
  <c r="AS105" i="11" s="1"/>
  <c r="AS106" i="11" a="1"/>
  <c r="AS106" i="11" s="1"/>
  <c r="AS107" i="11" a="1"/>
  <c r="AS107" i="11" s="1"/>
  <c r="AS108" i="11" a="1"/>
  <c r="AS108" i="11" s="1"/>
  <c r="AS109" i="11" a="1"/>
  <c r="AS109" i="11" s="1"/>
  <c r="AS110" i="11" a="1"/>
  <c r="AS110" i="11" s="1"/>
  <c r="AS111" i="11" a="1"/>
  <c r="AS111" i="11" s="1"/>
  <c r="AS112" i="11" a="1"/>
  <c r="AS112" i="11" s="1"/>
  <c r="AS113" i="11" a="1"/>
  <c r="AS113" i="11" s="1"/>
  <c r="AS114" i="11" a="1"/>
  <c r="AS114" i="11" s="1"/>
  <c r="AS115" i="11" a="1"/>
  <c r="AS115" i="11" s="1"/>
  <c r="AS116" i="11" a="1"/>
  <c r="AS116" i="11" s="1"/>
  <c r="AS117" i="11" a="1"/>
  <c r="AS117" i="11" s="1"/>
  <c r="AS118" i="11" a="1"/>
  <c r="AS118" i="11" s="1"/>
  <c r="AS119" i="11" a="1"/>
  <c r="AS119" i="11" s="1"/>
  <c r="AS120" i="11" a="1"/>
  <c r="AS120" i="11" s="1"/>
  <c r="AS121" i="11" a="1"/>
  <c r="AS121" i="11" s="1"/>
  <c r="AS122" i="11" a="1"/>
  <c r="AS122" i="11" s="1"/>
  <c r="AS123" i="11" a="1"/>
  <c r="AS123" i="11" s="1"/>
  <c r="AS124" i="11" a="1"/>
  <c r="AS124" i="11" s="1"/>
  <c r="AS125" i="11" a="1"/>
  <c r="AS125" i="11" s="1"/>
  <c r="AS126" i="11" a="1"/>
  <c r="AS126" i="11" s="1"/>
  <c r="AS127" i="11" a="1"/>
  <c r="AS127" i="11" s="1"/>
  <c r="AS128" i="11" a="1"/>
  <c r="AS128" i="11" s="1"/>
  <c r="AS129" i="11" a="1"/>
  <c r="AS129" i="11" s="1"/>
  <c r="AS130" i="11" a="1"/>
  <c r="AS130" i="11" s="1"/>
  <c r="AS131" i="11" a="1"/>
  <c r="AS131" i="11" s="1"/>
  <c r="AS132" i="11" a="1"/>
  <c r="AS132" i="11" s="1"/>
  <c r="AS133" i="11" a="1"/>
  <c r="AS133" i="11" s="1"/>
  <c r="AS134" i="11" a="1"/>
  <c r="AS134" i="11" s="1"/>
  <c r="AS135" i="11" a="1"/>
  <c r="AS135" i="11" s="1"/>
  <c r="AS136" i="11" a="1"/>
  <c r="AS136" i="11" s="1"/>
  <c r="AS137" i="11" a="1"/>
  <c r="AS137" i="11" s="1"/>
  <c r="AS138" i="11" a="1"/>
  <c r="AS138" i="11" s="1"/>
  <c r="AS139" i="11" a="1"/>
  <c r="AS139" i="11" s="1"/>
  <c r="AS140" i="11" a="1"/>
  <c r="AS140" i="11" s="1"/>
  <c r="AS141" i="11" a="1"/>
  <c r="AS141" i="11" s="1"/>
  <c r="AS142" i="11" a="1"/>
  <c r="AS142" i="11" s="1"/>
  <c r="AS143" i="11" a="1"/>
  <c r="AS143" i="11" s="1"/>
  <c r="AS144" i="11" a="1"/>
  <c r="AS144" i="11" s="1"/>
  <c r="AS145" i="11" a="1"/>
  <c r="AS145" i="11" s="1"/>
  <c r="AS146" i="11" a="1"/>
  <c r="AS146" i="11" s="1"/>
  <c r="AS147" i="11" a="1"/>
  <c r="AS147" i="11" s="1"/>
  <c r="AS148" i="11" a="1"/>
  <c r="AS148" i="11" s="1"/>
  <c r="AS149" i="11" a="1"/>
  <c r="AS149" i="11" s="1"/>
  <c r="AS150" i="11" a="1"/>
  <c r="AS150" i="11" s="1"/>
  <c r="AS151" i="11" a="1"/>
  <c r="AS151" i="11" s="1"/>
  <c r="AS152" i="11" a="1"/>
  <c r="AS152" i="11" s="1"/>
  <c r="AS153" i="11" a="1"/>
  <c r="AS153" i="11" s="1"/>
  <c r="AS154" i="11" a="1"/>
  <c r="AS154" i="11" s="1"/>
  <c r="AS155" i="11" a="1"/>
  <c r="AS155" i="11" s="1"/>
  <c r="AS156" i="11" a="1"/>
  <c r="AS156" i="11" s="1"/>
  <c r="AS157" i="11" a="1"/>
  <c r="AS157" i="11" s="1"/>
  <c r="AS158" i="11" a="1"/>
  <c r="AS158" i="11" s="1"/>
  <c r="AS159" i="11" a="1"/>
  <c r="AS159" i="11" s="1"/>
  <c r="AS160" i="11" a="1"/>
  <c r="AS160" i="11" s="1"/>
  <c r="AS161" i="11" a="1"/>
  <c r="AS161" i="11" s="1"/>
  <c r="AS162" i="11" a="1"/>
  <c r="AS162" i="11" s="1"/>
  <c r="AS163" i="11" a="1"/>
  <c r="AS163" i="11" s="1"/>
  <c r="AS164" i="11" a="1"/>
  <c r="AS164" i="11" s="1"/>
  <c r="AS165" i="11" a="1"/>
  <c r="AS165" i="11" s="1"/>
  <c r="AS166" i="11" a="1"/>
  <c r="AS166" i="11" s="1"/>
  <c r="AS167" i="11" a="1"/>
  <c r="AS167" i="11" s="1"/>
  <c r="AS168" i="11" a="1"/>
  <c r="AS168" i="11" s="1"/>
  <c r="AS169" i="11" a="1"/>
  <c r="AS169" i="11" s="1"/>
  <c r="AS170" i="11" a="1"/>
  <c r="AS170" i="11" s="1"/>
  <c r="AS171" i="11" a="1"/>
  <c r="AS171" i="11" s="1"/>
  <c r="AS172" i="11" a="1"/>
  <c r="AS172" i="11" s="1"/>
  <c r="AS173" i="11" a="1"/>
  <c r="AS173" i="11" s="1"/>
  <c r="AS174" i="11" a="1"/>
  <c r="AS174" i="11" s="1"/>
  <c r="AS175" i="11" a="1"/>
  <c r="AS175" i="11" s="1"/>
  <c r="AS176" i="11" a="1"/>
  <c r="AS176" i="11" s="1"/>
  <c r="AS177" i="11" a="1"/>
  <c r="AS177" i="11" s="1"/>
  <c r="AS178" i="11" a="1"/>
  <c r="AS178" i="11" s="1"/>
  <c r="AS179" i="11" a="1"/>
  <c r="AS179" i="11" s="1"/>
  <c r="AS180" i="11" a="1"/>
  <c r="AS180" i="11" s="1"/>
  <c r="AS181" i="11" a="1"/>
  <c r="AS181" i="11" s="1"/>
  <c r="AS182" i="11" a="1"/>
  <c r="AS182" i="11" s="1"/>
  <c r="AS183" i="11" a="1"/>
  <c r="AS183" i="11" s="1"/>
  <c r="AS184" i="11" a="1"/>
  <c r="AS184" i="11" s="1"/>
  <c r="AS185" i="11" a="1"/>
  <c r="AS185" i="11" s="1"/>
  <c r="AS186" i="11" a="1"/>
  <c r="AS186" i="11" s="1"/>
  <c r="AS187" i="11" a="1"/>
  <c r="AS187" i="11" s="1"/>
  <c r="AS188" i="11" a="1"/>
  <c r="AS188" i="11" s="1"/>
  <c r="AS189" i="11" a="1"/>
  <c r="AS189" i="11" s="1"/>
  <c r="AS190" i="11" a="1"/>
  <c r="AS190" i="11" s="1"/>
  <c r="AS191" i="11" a="1"/>
  <c r="AS191" i="11" s="1"/>
  <c r="AS192" i="11" a="1"/>
  <c r="AS192" i="11" s="1"/>
  <c r="AS193" i="11" a="1"/>
  <c r="AS193" i="11" s="1"/>
  <c r="AS194" i="11" a="1"/>
  <c r="AS194" i="11" s="1"/>
  <c r="AS195" i="11" a="1"/>
  <c r="AS195" i="11" s="1"/>
  <c r="AS196" i="11" a="1"/>
  <c r="AS196" i="11" s="1"/>
  <c r="AS197" i="11" a="1"/>
  <c r="AS197" i="11" s="1"/>
  <c r="AS198" i="11" a="1"/>
  <c r="AS198" i="11" s="1"/>
  <c r="AS199" i="11" a="1"/>
  <c r="AS199" i="11" s="1"/>
  <c r="AS200" i="11" a="1"/>
  <c r="AS200" i="11" s="1"/>
  <c r="AS201" i="11" a="1"/>
  <c r="AS201" i="11" s="1"/>
  <c r="AS2" i="11" a="1"/>
  <c r="AS2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41" i="11"/>
  <c r="AR42" i="11"/>
  <c r="AR43" i="11"/>
  <c r="AR44" i="11"/>
  <c r="AR45" i="11"/>
  <c r="AR46" i="11"/>
  <c r="AR47" i="11"/>
  <c r="AR48" i="11"/>
  <c r="AR49" i="11"/>
  <c r="AR50" i="11"/>
  <c r="AR51" i="11"/>
  <c r="AR52" i="11"/>
  <c r="AR53" i="11"/>
  <c r="AR54" i="11"/>
  <c r="AR55" i="11"/>
  <c r="AR56" i="11"/>
  <c r="AR57" i="11"/>
  <c r="AR58" i="11"/>
  <c r="AR59" i="11"/>
  <c r="AR60" i="11"/>
  <c r="AR61" i="11"/>
  <c r="AR62" i="11"/>
  <c r="AR63" i="11"/>
  <c r="AR64" i="11"/>
  <c r="AR65" i="11"/>
  <c r="AR66" i="11"/>
  <c r="AR67" i="11"/>
  <c r="AR68" i="11"/>
  <c r="AR69" i="11"/>
  <c r="AR70" i="11"/>
  <c r="AR71" i="11"/>
  <c r="AR72" i="11"/>
  <c r="AR73" i="11"/>
  <c r="AR74" i="11"/>
  <c r="AR75" i="11"/>
  <c r="AR76" i="11"/>
  <c r="AR77" i="11"/>
  <c r="AR78" i="11"/>
  <c r="AR79" i="11"/>
  <c r="AR80" i="11"/>
  <c r="AR81" i="11"/>
  <c r="AR82" i="11"/>
  <c r="AR83" i="11"/>
  <c r="AR84" i="11"/>
  <c r="AR85" i="11"/>
  <c r="AR86" i="11"/>
  <c r="AR87" i="11"/>
  <c r="AR88" i="11"/>
  <c r="AR89" i="11"/>
  <c r="AR90" i="11"/>
  <c r="AR91" i="11"/>
  <c r="AR92" i="11"/>
  <c r="AR93" i="11"/>
  <c r="AR94" i="11"/>
  <c r="AR95" i="11"/>
  <c r="AR96" i="11"/>
  <c r="AR97" i="11"/>
  <c r="AR98" i="11"/>
  <c r="AR99" i="11"/>
  <c r="AR100" i="11"/>
  <c r="AR101" i="11"/>
  <c r="AR102" i="11"/>
  <c r="AR103" i="11"/>
  <c r="AR104" i="11"/>
  <c r="AR105" i="11"/>
  <c r="AR106" i="11"/>
  <c r="AR107" i="11"/>
  <c r="AR108" i="11"/>
  <c r="AR109" i="11"/>
  <c r="AR110" i="11"/>
  <c r="AR111" i="11"/>
  <c r="AR112" i="11"/>
  <c r="AR113" i="11"/>
  <c r="AR114" i="11"/>
  <c r="AR115" i="11"/>
  <c r="AR116" i="11"/>
  <c r="AR117" i="11"/>
  <c r="AR118" i="11"/>
  <c r="AR119" i="11"/>
  <c r="AR120" i="11"/>
  <c r="AR121" i="11"/>
  <c r="AR122" i="11"/>
  <c r="AR123" i="11"/>
  <c r="AR124" i="11"/>
  <c r="AR125" i="11"/>
  <c r="AR126" i="11"/>
  <c r="AR127" i="11"/>
  <c r="AR128" i="11"/>
  <c r="AR129" i="11"/>
  <c r="AR130" i="11"/>
  <c r="AR131" i="11"/>
  <c r="AR132" i="11"/>
  <c r="AR133" i="11"/>
  <c r="AR134" i="11"/>
  <c r="AR135" i="11"/>
  <c r="AR136" i="11"/>
  <c r="AR137" i="11"/>
  <c r="AR138" i="11"/>
  <c r="AR139" i="11"/>
  <c r="AR140" i="11"/>
  <c r="AR141" i="11"/>
  <c r="AR142" i="11"/>
  <c r="AR143" i="11"/>
  <c r="AR144" i="11"/>
  <c r="AR145" i="11"/>
  <c r="AR146" i="11"/>
  <c r="AR147" i="11"/>
  <c r="AR148" i="11"/>
  <c r="AR149" i="11"/>
  <c r="AR150" i="11"/>
  <c r="AR151" i="11"/>
  <c r="AR152" i="11"/>
  <c r="AR153" i="11"/>
  <c r="AR154" i="11"/>
  <c r="AR155" i="11"/>
  <c r="AR156" i="11"/>
  <c r="AR157" i="11"/>
  <c r="AR158" i="11"/>
  <c r="AR159" i="11"/>
  <c r="AR160" i="11"/>
  <c r="AR161" i="11"/>
  <c r="AR162" i="11"/>
  <c r="AR163" i="11"/>
  <c r="AR164" i="11"/>
  <c r="AR165" i="11"/>
  <c r="AR166" i="11"/>
  <c r="AR167" i="11"/>
  <c r="AR168" i="11"/>
  <c r="AR169" i="11"/>
  <c r="AR170" i="11"/>
  <c r="AR171" i="11"/>
  <c r="AR172" i="11"/>
  <c r="AR173" i="11"/>
  <c r="AR174" i="11"/>
  <c r="AR175" i="11"/>
  <c r="AR176" i="11"/>
  <c r="AR177" i="11"/>
  <c r="AR178" i="11"/>
  <c r="AR179" i="11"/>
  <c r="AR180" i="11"/>
  <c r="AR181" i="11"/>
  <c r="AR182" i="11"/>
  <c r="AR183" i="11"/>
  <c r="AR184" i="11"/>
  <c r="AR185" i="11"/>
  <c r="AR186" i="11"/>
  <c r="AR187" i="11"/>
  <c r="AR188" i="11"/>
  <c r="AR189" i="11"/>
  <c r="AR190" i="11"/>
  <c r="AR191" i="11"/>
  <c r="AR192" i="11"/>
  <c r="AR193" i="11"/>
  <c r="AR194" i="11"/>
  <c r="AR195" i="11"/>
  <c r="AR196" i="11"/>
  <c r="AR197" i="11"/>
  <c r="AR198" i="11"/>
  <c r="AR199" i="11"/>
  <c r="AR200" i="11"/>
  <c r="AR201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33" i="11"/>
  <c r="AQ34" i="11"/>
  <c r="AQ35" i="11"/>
  <c r="AQ36" i="11"/>
  <c r="AQ37" i="11"/>
  <c r="AQ38" i="11"/>
  <c r="AQ39" i="11"/>
  <c r="AQ40" i="11"/>
  <c r="AQ41" i="11"/>
  <c r="AQ42" i="11"/>
  <c r="AQ43" i="11"/>
  <c r="AQ44" i="11"/>
  <c r="AQ45" i="11"/>
  <c r="AQ46" i="11"/>
  <c r="AQ47" i="11"/>
  <c r="AQ48" i="11"/>
  <c r="AQ49" i="11"/>
  <c r="AQ50" i="11"/>
  <c r="AQ51" i="11"/>
  <c r="AQ52" i="11"/>
  <c r="AQ53" i="11"/>
  <c r="AQ54" i="11"/>
  <c r="AQ55" i="11"/>
  <c r="AQ56" i="11"/>
  <c r="AQ57" i="11"/>
  <c r="AQ58" i="11"/>
  <c r="AQ59" i="11"/>
  <c r="AQ60" i="11"/>
  <c r="AQ61" i="11"/>
  <c r="AQ62" i="11"/>
  <c r="AQ63" i="11"/>
  <c r="AQ64" i="11"/>
  <c r="AQ65" i="11"/>
  <c r="AQ66" i="11"/>
  <c r="AQ67" i="11"/>
  <c r="AQ68" i="11"/>
  <c r="AQ69" i="11"/>
  <c r="AQ70" i="11"/>
  <c r="AQ71" i="11"/>
  <c r="AQ72" i="11"/>
  <c r="AQ73" i="11"/>
  <c r="AQ74" i="11"/>
  <c r="AQ75" i="11"/>
  <c r="AQ76" i="11"/>
  <c r="AQ77" i="11"/>
  <c r="AQ78" i="11"/>
  <c r="AQ79" i="11"/>
  <c r="AQ80" i="11"/>
  <c r="AQ81" i="11"/>
  <c r="AQ82" i="11"/>
  <c r="AQ83" i="11"/>
  <c r="AQ84" i="11"/>
  <c r="AQ85" i="11"/>
  <c r="AQ86" i="11"/>
  <c r="AQ87" i="11"/>
  <c r="AQ88" i="11"/>
  <c r="AQ89" i="11"/>
  <c r="AQ90" i="11"/>
  <c r="AQ91" i="11"/>
  <c r="AQ92" i="11"/>
  <c r="AQ93" i="11"/>
  <c r="AQ94" i="11"/>
  <c r="AQ95" i="11"/>
  <c r="AQ96" i="11"/>
  <c r="AQ97" i="11"/>
  <c r="AQ98" i="11"/>
  <c r="AQ99" i="11"/>
  <c r="AQ100" i="11"/>
  <c r="AQ101" i="11"/>
  <c r="AQ102" i="11"/>
  <c r="AQ103" i="11"/>
  <c r="AQ104" i="11"/>
  <c r="AQ105" i="11"/>
  <c r="AQ106" i="11"/>
  <c r="AQ107" i="11"/>
  <c r="AQ108" i="11"/>
  <c r="AQ109" i="11"/>
  <c r="AQ110" i="11"/>
  <c r="AQ111" i="11"/>
  <c r="AQ112" i="11"/>
  <c r="AQ113" i="11"/>
  <c r="AQ114" i="11"/>
  <c r="AQ115" i="11"/>
  <c r="AQ116" i="11"/>
  <c r="AQ117" i="11"/>
  <c r="AQ118" i="11"/>
  <c r="AQ119" i="11"/>
  <c r="AQ120" i="11"/>
  <c r="AQ121" i="11"/>
  <c r="AQ122" i="11"/>
  <c r="AQ123" i="11"/>
  <c r="AQ124" i="11"/>
  <c r="AQ125" i="11"/>
  <c r="AQ126" i="11"/>
  <c r="AQ127" i="11"/>
  <c r="AQ128" i="11"/>
  <c r="AQ129" i="11"/>
  <c r="AQ130" i="11"/>
  <c r="AQ131" i="11"/>
  <c r="AQ132" i="11"/>
  <c r="AQ133" i="11"/>
  <c r="AQ134" i="11"/>
  <c r="AQ135" i="11"/>
  <c r="AQ136" i="11"/>
  <c r="AQ137" i="11"/>
  <c r="AQ138" i="11"/>
  <c r="AQ139" i="11"/>
  <c r="AQ140" i="11"/>
  <c r="AQ141" i="11"/>
  <c r="AQ142" i="11"/>
  <c r="AQ143" i="11"/>
  <c r="AQ144" i="11"/>
  <c r="AQ145" i="11"/>
  <c r="AQ146" i="11"/>
  <c r="AQ147" i="11"/>
  <c r="AQ148" i="11"/>
  <c r="AQ149" i="11"/>
  <c r="AQ150" i="11"/>
  <c r="AQ151" i="11"/>
  <c r="AQ152" i="11"/>
  <c r="AQ153" i="11"/>
  <c r="AQ154" i="11"/>
  <c r="AQ155" i="11"/>
  <c r="AQ156" i="11"/>
  <c r="AQ157" i="11"/>
  <c r="AQ158" i="11"/>
  <c r="AQ159" i="11"/>
  <c r="AQ160" i="11"/>
  <c r="AQ161" i="11"/>
  <c r="AQ162" i="11"/>
  <c r="AQ163" i="11"/>
  <c r="AQ164" i="11"/>
  <c r="AQ165" i="11"/>
  <c r="AQ166" i="11"/>
  <c r="AQ167" i="11"/>
  <c r="AQ168" i="11"/>
  <c r="AQ169" i="11"/>
  <c r="AQ170" i="11"/>
  <c r="AQ171" i="11"/>
  <c r="AQ172" i="11"/>
  <c r="AQ173" i="11"/>
  <c r="AQ174" i="11"/>
  <c r="AQ175" i="11"/>
  <c r="AQ176" i="11"/>
  <c r="AQ177" i="11"/>
  <c r="AQ178" i="11"/>
  <c r="AQ179" i="11"/>
  <c r="AQ180" i="11"/>
  <c r="AQ181" i="11"/>
  <c r="AQ182" i="11"/>
  <c r="AQ183" i="11"/>
  <c r="AQ184" i="11"/>
  <c r="AQ185" i="11"/>
  <c r="AQ186" i="11"/>
  <c r="AQ187" i="11"/>
  <c r="AQ188" i="11"/>
  <c r="AQ189" i="11"/>
  <c r="AQ190" i="11"/>
  <c r="AQ191" i="11"/>
  <c r="AQ192" i="11"/>
  <c r="AQ193" i="11"/>
  <c r="AQ194" i="11"/>
  <c r="AQ195" i="11"/>
  <c r="AQ196" i="11"/>
  <c r="AQ197" i="11"/>
  <c r="AQ198" i="11"/>
  <c r="AQ199" i="11"/>
  <c r="AQ200" i="11"/>
  <c r="AQ201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P36" i="11"/>
  <c r="AP37" i="11"/>
  <c r="AP38" i="11"/>
  <c r="AP39" i="11"/>
  <c r="AP40" i="11"/>
  <c r="AP41" i="11"/>
  <c r="AP42" i="11"/>
  <c r="AP43" i="11"/>
  <c r="AP44" i="11"/>
  <c r="AP45" i="11"/>
  <c r="AP46" i="11"/>
  <c r="AP47" i="11"/>
  <c r="AP48" i="11"/>
  <c r="AP49" i="11"/>
  <c r="AP50" i="11"/>
  <c r="AP51" i="11"/>
  <c r="AP52" i="11"/>
  <c r="AP53" i="11"/>
  <c r="AP54" i="11"/>
  <c r="AP55" i="11"/>
  <c r="AP56" i="11"/>
  <c r="AP57" i="11"/>
  <c r="AP58" i="1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AP71" i="11"/>
  <c r="AP72" i="11"/>
  <c r="AP73" i="11"/>
  <c r="AP74" i="11"/>
  <c r="AP75" i="11"/>
  <c r="AP76" i="11"/>
  <c r="AP77" i="11"/>
  <c r="AP78" i="11"/>
  <c r="AP79" i="11"/>
  <c r="AP80" i="11"/>
  <c r="AP81" i="11"/>
  <c r="AP82" i="11"/>
  <c r="AP83" i="11"/>
  <c r="AP84" i="11"/>
  <c r="AP85" i="11"/>
  <c r="AP86" i="11"/>
  <c r="AP87" i="11"/>
  <c r="AP88" i="11"/>
  <c r="AP89" i="11"/>
  <c r="AP90" i="11"/>
  <c r="AP91" i="11"/>
  <c r="AP92" i="11"/>
  <c r="AP93" i="11"/>
  <c r="AP94" i="11"/>
  <c r="AP95" i="11"/>
  <c r="AP96" i="11"/>
  <c r="AP97" i="11"/>
  <c r="AP98" i="11"/>
  <c r="AP99" i="11"/>
  <c r="AP100" i="11"/>
  <c r="AP101" i="11"/>
  <c r="AP102" i="11"/>
  <c r="AP103" i="11"/>
  <c r="AP104" i="11"/>
  <c r="AP105" i="11"/>
  <c r="AP106" i="11"/>
  <c r="AP107" i="11"/>
  <c r="AP108" i="11"/>
  <c r="AP109" i="11"/>
  <c r="AP110" i="11"/>
  <c r="AP111" i="11"/>
  <c r="AP112" i="11"/>
  <c r="AP113" i="11"/>
  <c r="AP114" i="11"/>
  <c r="AP115" i="11"/>
  <c r="AP116" i="11"/>
  <c r="AP117" i="11"/>
  <c r="AP118" i="11"/>
  <c r="AP119" i="11"/>
  <c r="AP120" i="11"/>
  <c r="AP121" i="11"/>
  <c r="AP122" i="11"/>
  <c r="AP123" i="11"/>
  <c r="AP124" i="11"/>
  <c r="AP125" i="11"/>
  <c r="AP126" i="11"/>
  <c r="AP127" i="11"/>
  <c r="AP128" i="11"/>
  <c r="AP129" i="11"/>
  <c r="AP130" i="11"/>
  <c r="AP131" i="11"/>
  <c r="AP132" i="11"/>
  <c r="AP133" i="11"/>
  <c r="AP134" i="11"/>
  <c r="AP135" i="11"/>
  <c r="AP136" i="11"/>
  <c r="AP137" i="11"/>
  <c r="AP138" i="11"/>
  <c r="AP139" i="11"/>
  <c r="AP140" i="11"/>
  <c r="AP141" i="11"/>
  <c r="AP142" i="11"/>
  <c r="AP143" i="11"/>
  <c r="AP144" i="11"/>
  <c r="AP145" i="11"/>
  <c r="AP146" i="11"/>
  <c r="AP147" i="11"/>
  <c r="AP148" i="11"/>
  <c r="AP149" i="11"/>
  <c r="AP150" i="11"/>
  <c r="AP151" i="11"/>
  <c r="AP152" i="11"/>
  <c r="AP153" i="11"/>
  <c r="AP154" i="11"/>
  <c r="AP155" i="11"/>
  <c r="AP156" i="11"/>
  <c r="AP157" i="11"/>
  <c r="AP158" i="11"/>
  <c r="AP159" i="11"/>
  <c r="AP160" i="11"/>
  <c r="AP161" i="11"/>
  <c r="AP162" i="11"/>
  <c r="AP163" i="11"/>
  <c r="AP164" i="11"/>
  <c r="AP165" i="11"/>
  <c r="AP166" i="11"/>
  <c r="AP167" i="11"/>
  <c r="AP168" i="11"/>
  <c r="AP169" i="11"/>
  <c r="AP170" i="11"/>
  <c r="AP171" i="11"/>
  <c r="AP172" i="11"/>
  <c r="AP173" i="11"/>
  <c r="AP174" i="11"/>
  <c r="AP175" i="11"/>
  <c r="AP176" i="11"/>
  <c r="AP177" i="11"/>
  <c r="AP178" i="11"/>
  <c r="AP179" i="11"/>
  <c r="AP180" i="11"/>
  <c r="AP181" i="11"/>
  <c r="AP182" i="11"/>
  <c r="AP183" i="11"/>
  <c r="AP184" i="11"/>
  <c r="AP185" i="11"/>
  <c r="AP186" i="11"/>
  <c r="AP187" i="11"/>
  <c r="AP188" i="11"/>
  <c r="AP189" i="11"/>
  <c r="AP190" i="11"/>
  <c r="AP191" i="11"/>
  <c r="AP192" i="11"/>
  <c r="AP193" i="11"/>
  <c r="AP194" i="11"/>
  <c r="AP195" i="11"/>
  <c r="AP196" i="11"/>
  <c r="AP197" i="11"/>
  <c r="AP198" i="11"/>
  <c r="AP199" i="11"/>
  <c r="AP200" i="11"/>
  <c r="AP201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O110" i="11"/>
  <c r="AO111" i="11"/>
  <c r="AO112" i="11"/>
  <c r="AO113" i="11"/>
  <c r="AO114" i="11"/>
  <c r="AO115" i="11"/>
  <c r="AO116" i="11"/>
  <c r="AO117" i="11"/>
  <c r="AO118" i="11"/>
  <c r="AO119" i="11"/>
  <c r="AO120" i="11"/>
  <c r="AO121" i="11"/>
  <c r="AO122" i="11"/>
  <c r="AO123" i="11"/>
  <c r="AO124" i="11"/>
  <c r="AO125" i="11"/>
  <c r="AO126" i="11"/>
  <c r="AO127" i="11"/>
  <c r="AO128" i="11"/>
  <c r="AO129" i="11"/>
  <c r="AO130" i="11"/>
  <c r="AO131" i="11"/>
  <c r="AO132" i="11"/>
  <c r="AO133" i="11"/>
  <c r="AO134" i="11"/>
  <c r="AO135" i="11"/>
  <c r="AO136" i="11"/>
  <c r="AO137" i="11"/>
  <c r="AO138" i="11"/>
  <c r="AO139" i="11"/>
  <c r="AO140" i="11"/>
  <c r="AO141" i="11"/>
  <c r="AO142" i="11"/>
  <c r="AO143" i="11"/>
  <c r="AO144" i="11"/>
  <c r="AO145" i="11"/>
  <c r="AO146" i="11"/>
  <c r="AO147" i="11"/>
  <c r="AO148" i="11"/>
  <c r="AO149" i="11"/>
  <c r="AO150" i="11"/>
  <c r="AO151" i="11"/>
  <c r="AO152" i="11"/>
  <c r="AO153" i="11"/>
  <c r="AO154" i="11"/>
  <c r="AO155" i="11"/>
  <c r="AO156" i="11"/>
  <c r="AO157" i="11"/>
  <c r="AO158" i="11"/>
  <c r="AO159" i="11"/>
  <c r="AO160" i="11"/>
  <c r="AO161" i="11"/>
  <c r="AO162" i="11"/>
  <c r="AO163" i="11"/>
  <c r="AO164" i="11"/>
  <c r="AO165" i="11"/>
  <c r="AO166" i="11"/>
  <c r="AO167" i="11"/>
  <c r="AO168" i="11"/>
  <c r="AO169" i="11"/>
  <c r="AO170" i="11"/>
  <c r="AO171" i="11"/>
  <c r="AO172" i="11"/>
  <c r="AO173" i="11"/>
  <c r="AO174" i="11"/>
  <c r="AO175" i="11"/>
  <c r="AO176" i="11"/>
  <c r="AO177" i="11"/>
  <c r="AO178" i="11"/>
  <c r="AO179" i="11"/>
  <c r="AO180" i="11"/>
  <c r="AO181" i="11"/>
  <c r="AO182" i="11"/>
  <c r="AO183" i="11"/>
  <c r="AO184" i="11"/>
  <c r="AO185" i="11"/>
  <c r="AO186" i="11"/>
  <c r="AO187" i="11"/>
  <c r="AO188" i="11"/>
  <c r="AO189" i="11"/>
  <c r="AO190" i="11"/>
  <c r="AO191" i="11"/>
  <c r="AO192" i="11"/>
  <c r="AO193" i="11"/>
  <c r="AO194" i="11"/>
  <c r="AO195" i="11"/>
  <c r="AO196" i="11"/>
  <c r="AO197" i="11"/>
  <c r="AO198" i="11"/>
  <c r="AO199" i="11"/>
  <c r="AO200" i="11"/>
  <c r="AO201" i="11"/>
  <c r="AO2" i="11"/>
  <c r="AO1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116" i="11"/>
  <c r="AN117" i="11"/>
  <c r="AN118" i="11"/>
  <c r="AN119" i="11"/>
  <c r="AN120" i="11"/>
  <c r="AN121" i="11"/>
  <c r="AN122" i="11"/>
  <c r="AN123" i="11"/>
  <c r="AN124" i="11"/>
  <c r="AN125" i="11"/>
  <c r="AN126" i="11"/>
  <c r="AN127" i="11"/>
  <c r="AN128" i="11"/>
  <c r="AN129" i="11"/>
  <c r="AN130" i="11"/>
  <c r="AN131" i="11"/>
  <c r="AN132" i="11"/>
  <c r="AN133" i="11"/>
  <c r="AN134" i="11"/>
  <c r="AN135" i="11"/>
  <c r="AN136" i="11"/>
  <c r="AN137" i="11"/>
  <c r="AN138" i="11"/>
  <c r="AN139" i="11"/>
  <c r="AN140" i="11"/>
  <c r="AN141" i="11"/>
  <c r="AN142" i="11"/>
  <c r="AN143" i="11"/>
  <c r="AN144" i="11"/>
  <c r="AN145" i="11"/>
  <c r="AN146" i="11"/>
  <c r="AN147" i="11"/>
  <c r="AN148" i="11"/>
  <c r="AN149" i="11"/>
  <c r="AN150" i="11"/>
  <c r="AN151" i="11"/>
  <c r="AN152" i="11"/>
  <c r="AN153" i="11"/>
  <c r="AN154" i="11"/>
  <c r="AN155" i="11"/>
  <c r="AN156" i="11"/>
  <c r="AN157" i="11"/>
  <c r="AN158" i="11"/>
  <c r="AN159" i="11"/>
  <c r="AN160" i="11"/>
  <c r="AN161" i="11"/>
  <c r="AN162" i="11"/>
  <c r="AN163" i="11"/>
  <c r="AN164" i="11"/>
  <c r="AN165" i="11"/>
  <c r="AN166" i="11"/>
  <c r="AN167" i="11"/>
  <c r="AN168" i="11"/>
  <c r="AN169" i="11"/>
  <c r="AN170" i="11"/>
  <c r="AN171" i="11"/>
  <c r="AN172" i="11"/>
  <c r="AN173" i="11"/>
  <c r="AN174" i="11"/>
  <c r="AN175" i="11"/>
  <c r="AN176" i="11"/>
  <c r="AN177" i="11"/>
  <c r="AN178" i="11"/>
  <c r="AN179" i="11"/>
  <c r="AN180" i="11"/>
  <c r="AN181" i="11"/>
  <c r="AN182" i="11"/>
  <c r="AN183" i="11"/>
  <c r="AN184" i="11"/>
  <c r="AN185" i="11"/>
  <c r="AN186" i="11"/>
  <c r="AN187" i="11"/>
  <c r="AN188" i="11"/>
  <c r="AN189" i="11"/>
  <c r="AN190" i="11"/>
  <c r="AN191" i="11"/>
  <c r="AN192" i="11"/>
  <c r="AN193" i="11"/>
  <c r="AN194" i="11"/>
  <c r="AN195" i="11"/>
  <c r="AN196" i="11"/>
  <c r="AN197" i="11"/>
  <c r="AN198" i="11"/>
  <c r="AN199" i="11"/>
  <c r="AN200" i="11"/>
  <c r="AN201" i="11"/>
  <c r="AN2" i="11"/>
  <c r="AN1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M107" i="11"/>
  <c r="AM108" i="11"/>
  <c r="AM109" i="11"/>
  <c r="AM110" i="11"/>
  <c r="AM111" i="11"/>
  <c r="AM112" i="11"/>
  <c r="AM113" i="11"/>
  <c r="AM114" i="11"/>
  <c r="AM115" i="11"/>
  <c r="AM116" i="11"/>
  <c r="AM117" i="11"/>
  <c r="AM118" i="11"/>
  <c r="AM119" i="11"/>
  <c r="AM120" i="11"/>
  <c r="AM121" i="11"/>
  <c r="AM122" i="11"/>
  <c r="AM123" i="11"/>
  <c r="AM124" i="11"/>
  <c r="AM125" i="11"/>
  <c r="AM126" i="11"/>
  <c r="AM127" i="11"/>
  <c r="AM128" i="11"/>
  <c r="AM129" i="11"/>
  <c r="AM130" i="11"/>
  <c r="AM131" i="11"/>
  <c r="AM132" i="11"/>
  <c r="AM133" i="11"/>
  <c r="AM134" i="11"/>
  <c r="AM135" i="11"/>
  <c r="AM136" i="11"/>
  <c r="AM137" i="11"/>
  <c r="AM138" i="11"/>
  <c r="AM139" i="11"/>
  <c r="AM140" i="11"/>
  <c r="AM141" i="11"/>
  <c r="AM142" i="11"/>
  <c r="AM143" i="11"/>
  <c r="AM144" i="11"/>
  <c r="AM145" i="11"/>
  <c r="AM146" i="11"/>
  <c r="AM147" i="11"/>
  <c r="AM148" i="11"/>
  <c r="AM149" i="11"/>
  <c r="AM150" i="11"/>
  <c r="AM151" i="11"/>
  <c r="AM152" i="11"/>
  <c r="AM153" i="11"/>
  <c r="AM154" i="11"/>
  <c r="AM155" i="11"/>
  <c r="AM156" i="11"/>
  <c r="AM157" i="11"/>
  <c r="AM158" i="11"/>
  <c r="AM159" i="11"/>
  <c r="AM160" i="11"/>
  <c r="AM161" i="11"/>
  <c r="AM162" i="11"/>
  <c r="AM163" i="11"/>
  <c r="AM164" i="11"/>
  <c r="AM165" i="11"/>
  <c r="AM166" i="11"/>
  <c r="AM167" i="11"/>
  <c r="AM168" i="11"/>
  <c r="AM169" i="11"/>
  <c r="AM170" i="11"/>
  <c r="AM171" i="11"/>
  <c r="AM172" i="11"/>
  <c r="AM173" i="11"/>
  <c r="AM174" i="11"/>
  <c r="AM175" i="11"/>
  <c r="AM176" i="11"/>
  <c r="AM177" i="11"/>
  <c r="AM178" i="11"/>
  <c r="AM179" i="11"/>
  <c r="AM180" i="11"/>
  <c r="AM181" i="11"/>
  <c r="AM182" i="11"/>
  <c r="AM183" i="11"/>
  <c r="AM184" i="11"/>
  <c r="AM185" i="11"/>
  <c r="AM186" i="11"/>
  <c r="AM187" i="11"/>
  <c r="AM188" i="11"/>
  <c r="AM189" i="11"/>
  <c r="AM190" i="11"/>
  <c r="AM191" i="11"/>
  <c r="AM192" i="11"/>
  <c r="AM193" i="11"/>
  <c r="AM194" i="11"/>
  <c r="AM195" i="11"/>
  <c r="AM196" i="11"/>
  <c r="AM197" i="11"/>
  <c r="AM198" i="11"/>
  <c r="AM199" i="11"/>
  <c r="AM200" i="11"/>
  <c r="AM201" i="11"/>
  <c r="AM2" i="11"/>
  <c r="AM1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8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AB170" i="11"/>
  <c r="AB171" i="11"/>
  <c r="AB172" i="11"/>
  <c r="AB173" i="11"/>
  <c r="AB174" i="11"/>
  <c r="AB175" i="11"/>
  <c r="AB176" i="11"/>
  <c r="AB177" i="11"/>
  <c r="AB178" i="11"/>
  <c r="AB179" i="11"/>
  <c r="AB180" i="11"/>
  <c r="AB181" i="11"/>
  <c r="AB182" i="11"/>
  <c r="AB183" i="11"/>
  <c r="AB184" i="11"/>
  <c r="AB185" i="11"/>
  <c r="AB186" i="11"/>
  <c r="AB187" i="11"/>
  <c r="AB188" i="11"/>
  <c r="AB189" i="11"/>
  <c r="AB190" i="11"/>
  <c r="AB191" i="11"/>
  <c r="AB192" i="11"/>
  <c r="AB193" i="11"/>
  <c r="AB194" i="11"/>
  <c r="AB195" i="11"/>
  <c r="AB196" i="11"/>
  <c r="AB197" i="11"/>
  <c r="AB198" i="11"/>
  <c r="AB199" i="11"/>
  <c r="AB200" i="11"/>
  <c r="AB201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A111" i="11"/>
  <c r="AA112" i="11"/>
  <c r="AA113" i="11"/>
  <c r="AA114" i="11"/>
  <c r="AA115" i="11"/>
  <c r="AA116" i="11"/>
  <c r="AA117" i="11"/>
  <c r="AA118" i="11"/>
  <c r="AA119" i="11"/>
  <c r="AA120" i="11"/>
  <c r="AA121" i="11"/>
  <c r="AA122" i="11"/>
  <c r="AA123" i="11"/>
  <c r="AA124" i="11"/>
  <c r="AA125" i="11"/>
  <c r="AA126" i="11"/>
  <c r="AA127" i="11"/>
  <c r="AA128" i="11"/>
  <c r="AA129" i="11"/>
  <c r="AA130" i="11"/>
  <c r="AA131" i="11"/>
  <c r="AA132" i="11"/>
  <c r="AA133" i="11"/>
  <c r="AA134" i="11"/>
  <c r="AA135" i="11"/>
  <c r="AA136" i="11"/>
  <c r="AA137" i="11"/>
  <c r="AA138" i="11"/>
  <c r="AA139" i="11"/>
  <c r="AA140" i="11"/>
  <c r="AA141" i="11"/>
  <c r="AA142" i="11"/>
  <c r="AA143" i="11"/>
  <c r="AA144" i="11"/>
  <c r="AA145" i="11"/>
  <c r="AA146" i="11"/>
  <c r="AA147" i="11"/>
  <c r="AA148" i="11"/>
  <c r="AA149" i="11"/>
  <c r="AA150" i="11"/>
  <c r="AA151" i="11"/>
  <c r="AA152" i="11"/>
  <c r="AA153" i="11"/>
  <c r="AA154" i="11"/>
  <c r="AA155" i="11"/>
  <c r="AA156" i="11"/>
  <c r="AA157" i="11"/>
  <c r="AA158" i="11"/>
  <c r="AA159" i="11"/>
  <c r="AA160" i="11"/>
  <c r="AA161" i="11"/>
  <c r="AA162" i="11"/>
  <c r="AA163" i="11"/>
  <c r="AA164" i="11"/>
  <c r="AA165" i="11"/>
  <c r="AA166" i="11"/>
  <c r="AA167" i="11"/>
  <c r="AA168" i="11"/>
  <c r="AA169" i="11"/>
  <c r="AA170" i="11"/>
  <c r="AA171" i="11"/>
  <c r="AA172" i="11"/>
  <c r="AA173" i="11"/>
  <c r="AA174" i="11"/>
  <c r="AA175" i="11"/>
  <c r="AA176" i="11"/>
  <c r="AA177" i="11"/>
  <c r="AA178" i="11"/>
  <c r="AA179" i="11"/>
  <c r="AA180" i="11"/>
  <c r="AA181" i="11"/>
  <c r="AA182" i="11"/>
  <c r="AA183" i="11"/>
  <c r="AA184" i="11"/>
  <c r="AA185" i="11"/>
  <c r="AA186" i="11"/>
  <c r="AA187" i="11"/>
  <c r="AA188" i="11"/>
  <c r="AA189" i="11"/>
  <c r="AA190" i="11"/>
  <c r="AA191" i="11"/>
  <c r="AA192" i="11"/>
  <c r="AA193" i="11"/>
  <c r="AA194" i="11"/>
  <c r="AA195" i="11"/>
  <c r="AA196" i="11"/>
  <c r="AA197" i="11"/>
  <c r="AA198" i="11"/>
  <c r="AA199" i="11"/>
  <c r="AA200" i="11"/>
  <c r="AA201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" i="11"/>
  <c r="AA1" i="11"/>
  <c r="Z1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157" i="1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Y172" i="11"/>
  <c r="Y173" i="1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Y189" i="11"/>
  <c r="Y190" i="11"/>
  <c r="Y191" i="11"/>
  <c r="Y192" i="11"/>
  <c r="Y193" i="11"/>
  <c r="Y194" i="11"/>
  <c r="Y195" i="11"/>
  <c r="Y196" i="11"/>
  <c r="Y197" i="11"/>
  <c r="Y198" i="11"/>
  <c r="Y199" i="11"/>
  <c r="Y200" i="11"/>
  <c r="Y201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" i="11"/>
  <c r="C132" i="11" l="1"/>
  <c r="C124" i="11"/>
  <c r="C116" i="11"/>
  <c r="C108" i="11"/>
  <c r="C92" i="11"/>
  <c r="C84" i="11"/>
  <c r="C76" i="11"/>
  <c r="C68" i="11"/>
  <c r="C60" i="11"/>
  <c r="C172" i="11"/>
  <c r="C164" i="11"/>
  <c r="C156" i="11"/>
  <c r="C148" i="11"/>
  <c r="C140" i="11"/>
  <c r="C100" i="11"/>
  <c r="C155" i="11"/>
  <c r="C171" i="11"/>
  <c r="C163" i="11"/>
  <c r="C131" i="11"/>
  <c r="C123" i="11"/>
  <c r="C99" i="11"/>
  <c r="C91" i="11"/>
  <c r="C83" i="11"/>
  <c r="C75" i="11"/>
  <c r="C67" i="11"/>
  <c r="P2" i="1"/>
  <c r="C107" i="11"/>
  <c r="P14" i="2"/>
  <c r="P13" i="2"/>
  <c r="P5" i="2"/>
  <c r="O4" i="2"/>
  <c r="R16" i="2"/>
  <c r="R9" i="2"/>
  <c r="R8" i="2"/>
  <c r="P12" i="2"/>
  <c r="S17" i="2"/>
  <c r="P3" i="2"/>
  <c r="S16" i="2"/>
  <c r="N2" i="2"/>
  <c r="P2" i="2"/>
  <c r="S8" i="2"/>
  <c r="R17" i="2"/>
  <c r="S7" i="2"/>
  <c r="P6" i="2"/>
  <c r="R18" i="2"/>
  <c r="R10" i="2"/>
  <c r="R2" i="2"/>
  <c r="S10" i="2"/>
  <c r="O15" i="2"/>
  <c r="S18" i="2"/>
  <c r="O14" i="2"/>
  <c r="O6" i="2"/>
  <c r="P4" i="2"/>
  <c r="N4" i="2"/>
  <c r="O13" i="2"/>
  <c r="O5" i="2"/>
  <c r="O12" i="2"/>
  <c r="P11" i="2"/>
  <c r="O19" i="2"/>
  <c r="O11" i="2"/>
  <c r="O3" i="2"/>
  <c r="C59" i="11"/>
  <c r="C51" i="11"/>
  <c r="C43" i="11"/>
  <c r="C35" i="11"/>
  <c r="C27" i="11"/>
  <c r="C54" i="11"/>
  <c r="C11" i="11"/>
  <c r="C170" i="11"/>
  <c r="C162" i="11"/>
  <c r="C138" i="11"/>
  <c r="C130" i="11"/>
  <c r="C122" i="11"/>
  <c r="C114" i="11"/>
  <c r="C106" i="11"/>
  <c r="C98" i="11"/>
  <c r="C90" i="11"/>
  <c r="C82" i="11"/>
  <c r="C74" i="11"/>
  <c r="C66" i="11"/>
  <c r="C58" i="11"/>
  <c r="C50" i="11"/>
  <c r="C42" i="11"/>
  <c r="C34" i="11"/>
  <c r="C26" i="11"/>
  <c r="C18" i="11"/>
  <c r="C10" i="11"/>
  <c r="C146" i="11"/>
  <c r="M19" i="2"/>
  <c r="C168" i="11"/>
  <c r="C160" i="11"/>
  <c r="C152" i="11"/>
  <c r="C144" i="11"/>
  <c r="C136" i="11"/>
  <c r="C128" i="11"/>
  <c r="C120" i="11"/>
  <c r="C112" i="11"/>
  <c r="C104" i="11"/>
  <c r="C96" i="11"/>
  <c r="C88" i="11"/>
  <c r="C80" i="11"/>
  <c r="C72" i="11"/>
  <c r="C64" i="11"/>
  <c r="C56" i="11"/>
  <c r="C48" i="11"/>
  <c r="M15" i="2"/>
  <c r="C40" i="11"/>
  <c r="C32" i="11"/>
  <c r="C24" i="11"/>
  <c r="C166" i="11"/>
  <c r="C158" i="11"/>
  <c r="C45" i="11"/>
  <c r="C29" i="11"/>
  <c r="C21" i="11"/>
  <c r="C13" i="11"/>
  <c r="C5" i="11"/>
  <c r="M9" i="2"/>
  <c r="C12" i="11"/>
  <c r="C111" i="11"/>
  <c r="C103" i="11"/>
  <c r="C46" i="11"/>
  <c r="C38" i="11"/>
  <c r="C30" i="11"/>
  <c r="C22" i="11"/>
  <c r="C57" i="11"/>
  <c r="C49" i="11"/>
  <c r="C182" i="11"/>
  <c r="C174" i="11"/>
  <c r="C201" i="11"/>
  <c r="C193" i="11"/>
  <c r="C55" i="11"/>
  <c r="C115" i="11"/>
  <c r="C150" i="11"/>
  <c r="C142" i="11"/>
  <c r="C134" i="11"/>
  <c r="C126" i="11"/>
  <c r="C118" i="11"/>
  <c r="C110" i="11"/>
  <c r="C102" i="11"/>
  <c r="C94" i="11"/>
  <c r="C86" i="11"/>
  <c r="C78" i="11"/>
  <c r="C70" i="11"/>
  <c r="C62" i="11"/>
  <c r="C169" i="11"/>
  <c r="C53" i="11"/>
  <c r="C121" i="11"/>
  <c r="C198" i="11"/>
  <c r="C190" i="11"/>
  <c r="C14" i="11"/>
  <c r="C6" i="11"/>
  <c r="C199" i="11"/>
  <c r="C191" i="11"/>
  <c r="C183" i="11"/>
  <c r="C175" i="11"/>
  <c r="C20" i="11"/>
  <c r="C197" i="11"/>
  <c r="C189" i="11"/>
  <c r="C181" i="11"/>
  <c r="C173" i="11"/>
  <c r="C165" i="11"/>
  <c r="C157" i="11"/>
  <c r="C149" i="11"/>
  <c r="C141" i="11"/>
  <c r="C133" i="11"/>
  <c r="C125" i="11"/>
  <c r="C117" i="11"/>
  <c r="C109" i="11"/>
  <c r="C101" i="11"/>
  <c r="C195" i="11"/>
  <c r="C187" i="11"/>
  <c r="C179" i="11"/>
  <c r="C154" i="11"/>
  <c r="C200" i="11"/>
  <c r="C192" i="11"/>
  <c r="C184" i="11"/>
  <c r="C176" i="11"/>
  <c r="C196" i="11"/>
  <c r="C188" i="11"/>
  <c r="C180" i="11"/>
  <c r="C194" i="11"/>
  <c r="C186" i="11"/>
  <c r="C178" i="11"/>
  <c r="C2" i="11"/>
  <c r="AD21" i="11"/>
  <c r="AE21" i="11"/>
  <c r="AF21" i="11"/>
  <c r="AG21" i="11"/>
  <c r="AH21" i="11"/>
  <c r="AI21" i="11"/>
  <c r="AJ21" i="11"/>
  <c r="AK21" i="11"/>
  <c r="AL21" i="11"/>
  <c r="AV21" i="11"/>
  <c r="AD22" i="11"/>
  <c r="AE22" i="11"/>
  <c r="AF22" i="11"/>
  <c r="AG22" i="11"/>
  <c r="AH22" i="11"/>
  <c r="AI22" i="11"/>
  <c r="AJ22" i="11"/>
  <c r="AK22" i="11"/>
  <c r="AL22" i="11"/>
  <c r="AV22" i="11"/>
  <c r="AD23" i="11"/>
  <c r="AE23" i="11"/>
  <c r="AF23" i="11"/>
  <c r="AG23" i="11"/>
  <c r="AH23" i="11"/>
  <c r="AI23" i="11"/>
  <c r="AJ23" i="11"/>
  <c r="AK23" i="11"/>
  <c r="AL23" i="11"/>
  <c r="AV23" i="11"/>
  <c r="AD24" i="11"/>
  <c r="AE24" i="11"/>
  <c r="AF24" i="11"/>
  <c r="AG24" i="11"/>
  <c r="AH24" i="11"/>
  <c r="AI24" i="11"/>
  <c r="AJ24" i="11"/>
  <c r="AK24" i="11"/>
  <c r="AL24" i="11"/>
  <c r="AV24" i="11"/>
  <c r="AD25" i="11"/>
  <c r="AE25" i="11"/>
  <c r="AF25" i="11"/>
  <c r="AG25" i="11"/>
  <c r="AH25" i="11"/>
  <c r="AI25" i="11"/>
  <c r="AJ25" i="11"/>
  <c r="AK25" i="11"/>
  <c r="AL25" i="11"/>
  <c r="AV25" i="11"/>
  <c r="AD26" i="11"/>
  <c r="AE26" i="11"/>
  <c r="AF26" i="11"/>
  <c r="AG26" i="11"/>
  <c r="AH26" i="11"/>
  <c r="AI26" i="11"/>
  <c r="AJ26" i="11"/>
  <c r="AK26" i="11"/>
  <c r="AL26" i="11"/>
  <c r="AV26" i="11"/>
  <c r="AD27" i="11"/>
  <c r="AE27" i="11"/>
  <c r="AF27" i="11"/>
  <c r="AG27" i="11"/>
  <c r="AH27" i="11"/>
  <c r="AI27" i="11"/>
  <c r="AJ27" i="11"/>
  <c r="AK27" i="11"/>
  <c r="AL27" i="11"/>
  <c r="AV27" i="11"/>
  <c r="AD28" i="11"/>
  <c r="AE28" i="11"/>
  <c r="AF28" i="11"/>
  <c r="AG28" i="11"/>
  <c r="AH28" i="11"/>
  <c r="AI28" i="11"/>
  <c r="AJ28" i="11"/>
  <c r="AK28" i="11"/>
  <c r="AL28" i="11"/>
  <c r="AV28" i="11"/>
  <c r="AD29" i="11"/>
  <c r="AE29" i="11"/>
  <c r="AF29" i="11"/>
  <c r="AG29" i="11"/>
  <c r="AH29" i="11"/>
  <c r="AI29" i="11"/>
  <c r="AJ29" i="11"/>
  <c r="AK29" i="11"/>
  <c r="AL29" i="11"/>
  <c r="AV29" i="11"/>
  <c r="AD30" i="11"/>
  <c r="AE30" i="11"/>
  <c r="AF30" i="11"/>
  <c r="AG30" i="11"/>
  <c r="AH30" i="11"/>
  <c r="AI30" i="11"/>
  <c r="AJ30" i="11"/>
  <c r="AK30" i="11"/>
  <c r="AL30" i="11"/>
  <c r="AV30" i="11"/>
  <c r="AD31" i="11"/>
  <c r="AE31" i="11"/>
  <c r="AF31" i="11"/>
  <c r="AG31" i="11"/>
  <c r="AH31" i="11"/>
  <c r="AI31" i="11"/>
  <c r="AJ31" i="11"/>
  <c r="AK31" i="11"/>
  <c r="AL31" i="11"/>
  <c r="AV31" i="11"/>
  <c r="AD32" i="11"/>
  <c r="AE32" i="11"/>
  <c r="AF32" i="11"/>
  <c r="AG32" i="11"/>
  <c r="AH32" i="11"/>
  <c r="AI32" i="11"/>
  <c r="AJ32" i="11"/>
  <c r="AK32" i="11"/>
  <c r="AL32" i="11"/>
  <c r="AV32" i="11"/>
  <c r="AD33" i="11"/>
  <c r="AE33" i="11"/>
  <c r="AF33" i="11"/>
  <c r="AG33" i="11"/>
  <c r="AH33" i="11"/>
  <c r="AI33" i="11"/>
  <c r="AJ33" i="11"/>
  <c r="AK33" i="11"/>
  <c r="AL33" i="11"/>
  <c r="AV33" i="11"/>
  <c r="AD34" i="11"/>
  <c r="AE34" i="11"/>
  <c r="AF34" i="11"/>
  <c r="AG34" i="11"/>
  <c r="AH34" i="11"/>
  <c r="AI34" i="11"/>
  <c r="AJ34" i="11"/>
  <c r="AK34" i="11"/>
  <c r="AL34" i="11"/>
  <c r="AV34" i="11"/>
  <c r="AD35" i="11"/>
  <c r="AE35" i="11"/>
  <c r="AF35" i="11"/>
  <c r="AG35" i="11"/>
  <c r="AH35" i="11"/>
  <c r="AI35" i="11"/>
  <c r="AJ35" i="11"/>
  <c r="AK35" i="11"/>
  <c r="AL35" i="11"/>
  <c r="AV35" i="11"/>
  <c r="AD36" i="11"/>
  <c r="AE36" i="11"/>
  <c r="AF36" i="11"/>
  <c r="AG36" i="11"/>
  <c r="AH36" i="11"/>
  <c r="AI36" i="11"/>
  <c r="AJ36" i="11"/>
  <c r="AK36" i="11"/>
  <c r="AL36" i="11"/>
  <c r="AV36" i="11"/>
  <c r="AD37" i="11"/>
  <c r="AE37" i="11"/>
  <c r="AF37" i="11"/>
  <c r="AG37" i="11"/>
  <c r="AH37" i="11"/>
  <c r="AI37" i="11"/>
  <c r="AJ37" i="11"/>
  <c r="AK37" i="11"/>
  <c r="AL37" i="11"/>
  <c r="AV37" i="11"/>
  <c r="AD38" i="11"/>
  <c r="AE38" i="11"/>
  <c r="AF38" i="11"/>
  <c r="AG38" i="11"/>
  <c r="AH38" i="11"/>
  <c r="AI38" i="11"/>
  <c r="AJ38" i="11"/>
  <c r="AK38" i="11"/>
  <c r="AL38" i="11"/>
  <c r="AV38" i="11"/>
  <c r="AD39" i="11"/>
  <c r="AE39" i="11"/>
  <c r="AF39" i="11"/>
  <c r="AG39" i="11"/>
  <c r="AH39" i="11"/>
  <c r="AI39" i="11"/>
  <c r="AJ39" i="11"/>
  <c r="AK39" i="11"/>
  <c r="AL39" i="11"/>
  <c r="AV39" i="11"/>
  <c r="AD40" i="11"/>
  <c r="AE40" i="11"/>
  <c r="AF40" i="11"/>
  <c r="AG40" i="11"/>
  <c r="AH40" i="11"/>
  <c r="AI40" i="11"/>
  <c r="AJ40" i="11"/>
  <c r="AK40" i="11"/>
  <c r="AL40" i="11"/>
  <c r="AV40" i="11"/>
  <c r="AD41" i="11"/>
  <c r="AE41" i="11"/>
  <c r="AF41" i="11"/>
  <c r="AG41" i="11"/>
  <c r="AH41" i="11"/>
  <c r="AI41" i="11"/>
  <c r="AJ41" i="11"/>
  <c r="AK41" i="11"/>
  <c r="AL41" i="11"/>
  <c r="AV41" i="11"/>
  <c r="AD42" i="11"/>
  <c r="AE42" i="11"/>
  <c r="AF42" i="11"/>
  <c r="AG42" i="11"/>
  <c r="AH42" i="11"/>
  <c r="AI42" i="11"/>
  <c r="AJ42" i="11"/>
  <c r="AK42" i="11"/>
  <c r="AL42" i="11"/>
  <c r="AV42" i="11"/>
  <c r="AD43" i="11"/>
  <c r="AE43" i="11"/>
  <c r="AF43" i="11"/>
  <c r="AG43" i="11"/>
  <c r="AH43" i="11"/>
  <c r="AI43" i="11"/>
  <c r="AJ43" i="11"/>
  <c r="AK43" i="11"/>
  <c r="AL43" i="11"/>
  <c r="AV43" i="11"/>
  <c r="AD44" i="11"/>
  <c r="AE44" i="11"/>
  <c r="AF44" i="11"/>
  <c r="AG44" i="11"/>
  <c r="AH44" i="11"/>
  <c r="AI44" i="11"/>
  <c r="AJ44" i="11"/>
  <c r="AK44" i="11"/>
  <c r="AL44" i="11"/>
  <c r="AV44" i="11"/>
  <c r="AD45" i="11"/>
  <c r="AE45" i="11"/>
  <c r="AF45" i="11"/>
  <c r="AG45" i="11"/>
  <c r="AH45" i="11"/>
  <c r="AI45" i="11"/>
  <c r="AJ45" i="11"/>
  <c r="AK45" i="11"/>
  <c r="AL45" i="11"/>
  <c r="AV45" i="11"/>
  <c r="AD46" i="11"/>
  <c r="AE46" i="11"/>
  <c r="AF46" i="11"/>
  <c r="AG46" i="11"/>
  <c r="AH46" i="11"/>
  <c r="AI46" i="11"/>
  <c r="AJ46" i="11"/>
  <c r="AK46" i="11"/>
  <c r="AL46" i="11"/>
  <c r="AV46" i="11"/>
  <c r="AD47" i="11"/>
  <c r="AE47" i="11"/>
  <c r="AF47" i="11"/>
  <c r="AG47" i="11"/>
  <c r="AH47" i="11"/>
  <c r="AI47" i="11"/>
  <c r="AJ47" i="11"/>
  <c r="AK47" i="11"/>
  <c r="AL47" i="11"/>
  <c r="AV47" i="11"/>
  <c r="AD48" i="11"/>
  <c r="AE48" i="11"/>
  <c r="AF48" i="11"/>
  <c r="AG48" i="11"/>
  <c r="AH48" i="11"/>
  <c r="AI48" i="11"/>
  <c r="AJ48" i="11"/>
  <c r="AK48" i="11"/>
  <c r="AL48" i="11"/>
  <c r="AV48" i="11"/>
  <c r="AD49" i="11"/>
  <c r="AE49" i="11"/>
  <c r="AF49" i="11"/>
  <c r="AG49" i="11"/>
  <c r="AH49" i="11"/>
  <c r="AI49" i="11"/>
  <c r="AJ49" i="11"/>
  <c r="AK49" i="11"/>
  <c r="AL49" i="11"/>
  <c r="AV49" i="11"/>
  <c r="AD50" i="11"/>
  <c r="AE50" i="11"/>
  <c r="AF50" i="11"/>
  <c r="AG50" i="11"/>
  <c r="AH50" i="11"/>
  <c r="AI50" i="11"/>
  <c r="AJ50" i="11"/>
  <c r="AK50" i="11"/>
  <c r="AL50" i="11"/>
  <c r="AV50" i="11"/>
  <c r="AD51" i="11"/>
  <c r="AE51" i="11"/>
  <c r="AF51" i="11"/>
  <c r="AG51" i="11"/>
  <c r="AH51" i="11"/>
  <c r="AI51" i="11"/>
  <c r="AJ51" i="11"/>
  <c r="AK51" i="11"/>
  <c r="AL51" i="11"/>
  <c r="AV51" i="11"/>
  <c r="AD52" i="11"/>
  <c r="AE52" i="11"/>
  <c r="AF52" i="11"/>
  <c r="AG52" i="11"/>
  <c r="AH52" i="11"/>
  <c r="AI52" i="11"/>
  <c r="AJ52" i="11"/>
  <c r="AK52" i="11"/>
  <c r="AL52" i="11"/>
  <c r="AV52" i="11"/>
  <c r="AD53" i="11"/>
  <c r="AE53" i="11"/>
  <c r="AF53" i="11"/>
  <c r="AG53" i="11"/>
  <c r="AH53" i="11"/>
  <c r="AI53" i="11"/>
  <c r="AJ53" i="11"/>
  <c r="AK53" i="11"/>
  <c r="AL53" i="11"/>
  <c r="AV53" i="11"/>
  <c r="AD54" i="11"/>
  <c r="AE54" i="11"/>
  <c r="AF54" i="11"/>
  <c r="AG54" i="11"/>
  <c r="AH54" i="11"/>
  <c r="AI54" i="11"/>
  <c r="AJ54" i="11"/>
  <c r="AK54" i="11"/>
  <c r="AL54" i="11"/>
  <c r="AV54" i="11"/>
  <c r="AD55" i="11"/>
  <c r="AE55" i="11"/>
  <c r="AF55" i="11"/>
  <c r="AG55" i="11"/>
  <c r="AH55" i="11"/>
  <c r="AI55" i="11"/>
  <c r="AJ55" i="11"/>
  <c r="AK55" i="11"/>
  <c r="AL55" i="11"/>
  <c r="AV55" i="11"/>
  <c r="AD56" i="11"/>
  <c r="AE56" i="11"/>
  <c r="AF56" i="11"/>
  <c r="AG56" i="11"/>
  <c r="AH56" i="11"/>
  <c r="AI56" i="11"/>
  <c r="AJ56" i="11"/>
  <c r="AK56" i="11"/>
  <c r="AL56" i="11"/>
  <c r="AV56" i="11"/>
  <c r="AD57" i="11"/>
  <c r="AE57" i="11"/>
  <c r="AF57" i="11"/>
  <c r="AG57" i="11"/>
  <c r="AH57" i="11"/>
  <c r="AI57" i="11"/>
  <c r="AJ57" i="11"/>
  <c r="AK57" i="11"/>
  <c r="AL57" i="11"/>
  <c r="AV57" i="11"/>
  <c r="AD58" i="11"/>
  <c r="AE58" i="11"/>
  <c r="AF58" i="11"/>
  <c r="AG58" i="11"/>
  <c r="AH58" i="11"/>
  <c r="AI58" i="11"/>
  <c r="AJ58" i="11"/>
  <c r="AK58" i="11"/>
  <c r="AL58" i="11"/>
  <c r="AV58" i="11"/>
  <c r="AD59" i="11"/>
  <c r="AE59" i="11"/>
  <c r="AF59" i="11"/>
  <c r="AG59" i="11"/>
  <c r="AH59" i="11"/>
  <c r="AI59" i="11"/>
  <c r="AJ59" i="11"/>
  <c r="AK59" i="11"/>
  <c r="AL59" i="11"/>
  <c r="AV59" i="11"/>
  <c r="AD60" i="11"/>
  <c r="AE60" i="11"/>
  <c r="AF60" i="11"/>
  <c r="AG60" i="11"/>
  <c r="AH60" i="11"/>
  <c r="AI60" i="11"/>
  <c r="AJ60" i="11"/>
  <c r="AK60" i="11"/>
  <c r="AL60" i="11"/>
  <c r="AV60" i="11"/>
  <c r="AD61" i="11"/>
  <c r="AE61" i="11"/>
  <c r="AF61" i="11"/>
  <c r="AG61" i="11"/>
  <c r="AH61" i="11"/>
  <c r="AI61" i="11"/>
  <c r="AJ61" i="11"/>
  <c r="AK61" i="11"/>
  <c r="AL61" i="11"/>
  <c r="AV61" i="11"/>
  <c r="AD62" i="11"/>
  <c r="AE62" i="11"/>
  <c r="AF62" i="11"/>
  <c r="AG62" i="11"/>
  <c r="AH62" i="11"/>
  <c r="AI62" i="11"/>
  <c r="AJ62" i="11"/>
  <c r="AK62" i="11"/>
  <c r="AL62" i="11"/>
  <c r="AV62" i="11"/>
  <c r="AD63" i="11"/>
  <c r="AE63" i="11"/>
  <c r="AF63" i="11"/>
  <c r="AG63" i="11"/>
  <c r="AH63" i="11"/>
  <c r="AI63" i="11"/>
  <c r="AJ63" i="11"/>
  <c r="AK63" i="11"/>
  <c r="AL63" i="11"/>
  <c r="AV63" i="11"/>
  <c r="AD64" i="11"/>
  <c r="AE64" i="11"/>
  <c r="AF64" i="11"/>
  <c r="AG64" i="11"/>
  <c r="AH64" i="11"/>
  <c r="AI64" i="11"/>
  <c r="AJ64" i="11"/>
  <c r="AK64" i="11"/>
  <c r="AL64" i="11"/>
  <c r="AV64" i="11"/>
  <c r="AD65" i="11"/>
  <c r="AE65" i="11"/>
  <c r="AF65" i="11"/>
  <c r="AG65" i="11"/>
  <c r="AH65" i="11"/>
  <c r="AI65" i="11"/>
  <c r="AJ65" i="11"/>
  <c r="AK65" i="11"/>
  <c r="AL65" i="11"/>
  <c r="AV65" i="11"/>
  <c r="AD66" i="11"/>
  <c r="AE66" i="11"/>
  <c r="AF66" i="11"/>
  <c r="AG66" i="11"/>
  <c r="AH66" i="11"/>
  <c r="AI66" i="11"/>
  <c r="AJ66" i="11"/>
  <c r="AK66" i="11"/>
  <c r="AL66" i="11"/>
  <c r="AV66" i="11"/>
  <c r="AD67" i="11"/>
  <c r="AE67" i="11"/>
  <c r="AF67" i="11"/>
  <c r="AG67" i="11"/>
  <c r="AH67" i="11"/>
  <c r="AI67" i="11"/>
  <c r="AJ67" i="11"/>
  <c r="AK67" i="11"/>
  <c r="AL67" i="11"/>
  <c r="AV67" i="11"/>
  <c r="AD68" i="11"/>
  <c r="AE68" i="11"/>
  <c r="AF68" i="11"/>
  <c r="AG68" i="11"/>
  <c r="AH68" i="11"/>
  <c r="AI68" i="11"/>
  <c r="AJ68" i="11"/>
  <c r="AK68" i="11"/>
  <c r="AL68" i="11"/>
  <c r="AV68" i="11"/>
  <c r="AD69" i="11"/>
  <c r="AE69" i="11"/>
  <c r="AF69" i="11"/>
  <c r="AG69" i="11"/>
  <c r="AH69" i="11"/>
  <c r="AI69" i="11"/>
  <c r="AJ69" i="11"/>
  <c r="AK69" i="11"/>
  <c r="AL69" i="11"/>
  <c r="AV69" i="11"/>
  <c r="AD70" i="11"/>
  <c r="AE70" i="11"/>
  <c r="AF70" i="11"/>
  <c r="AG70" i="11"/>
  <c r="AH70" i="11"/>
  <c r="AI70" i="11"/>
  <c r="AJ70" i="11"/>
  <c r="AK70" i="11"/>
  <c r="AL70" i="11"/>
  <c r="AV70" i="11"/>
  <c r="AD71" i="11"/>
  <c r="AE71" i="11"/>
  <c r="AF71" i="11"/>
  <c r="AG71" i="11"/>
  <c r="AH71" i="11"/>
  <c r="AI71" i="11"/>
  <c r="AJ71" i="11"/>
  <c r="AK71" i="11"/>
  <c r="AL71" i="11"/>
  <c r="AV71" i="11"/>
  <c r="AD72" i="11"/>
  <c r="AE72" i="11"/>
  <c r="AF72" i="11"/>
  <c r="AG72" i="11"/>
  <c r="AH72" i="11"/>
  <c r="AI72" i="11"/>
  <c r="AJ72" i="11"/>
  <c r="AK72" i="11"/>
  <c r="AL72" i="11"/>
  <c r="AV72" i="11"/>
  <c r="AD73" i="11"/>
  <c r="AE73" i="11"/>
  <c r="AF73" i="11"/>
  <c r="AG73" i="11"/>
  <c r="AH73" i="11"/>
  <c r="AI73" i="11"/>
  <c r="AJ73" i="11"/>
  <c r="AK73" i="11"/>
  <c r="AL73" i="11"/>
  <c r="AV73" i="11"/>
  <c r="AD74" i="11"/>
  <c r="AE74" i="11"/>
  <c r="AF74" i="11"/>
  <c r="AG74" i="11"/>
  <c r="AH74" i="11"/>
  <c r="AI74" i="11"/>
  <c r="AJ74" i="11"/>
  <c r="AK74" i="11"/>
  <c r="AL74" i="11"/>
  <c r="AV74" i="11"/>
  <c r="AD75" i="11"/>
  <c r="AE75" i="11"/>
  <c r="AF75" i="11"/>
  <c r="AG75" i="11"/>
  <c r="AH75" i="11"/>
  <c r="AI75" i="11"/>
  <c r="AJ75" i="11"/>
  <c r="AK75" i="11"/>
  <c r="AL75" i="11"/>
  <c r="AV75" i="11"/>
  <c r="AD76" i="11"/>
  <c r="AE76" i="11"/>
  <c r="AF76" i="11"/>
  <c r="AG76" i="11"/>
  <c r="AH76" i="11"/>
  <c r="AI76" i="11"/>
  <c r="AJ76" i="11"/>
  <c r="AK76" i="11"/>
  <c r="AL76" i="11"/>
  <c r="AV76" i="11"/>
  <c r="AD77" i="11"/>
  <c r="AE77" i="11"/>
  <c r="AF77" i="11"/>
  <c r="AG77" i="11"/>
  <c r="AH77" i="11"/>
  <c r="AI77" i="11"/>
  <c r="AJ77" i="11"/>
  <c r="AK77" i="11"/>
  <c r="AL77" i="11"/>
  <c r="AV77" i="11"/>
  <c r="AD78" i="11"/>
  <c r="AE78" i="11"/>
  <c r="AF78" i="11"/>
  <c r="AG78" i="11"/>
  <c r="AH78" i="11"/>
  <c r="AI78" i="11"/>
  <c r="AJ78" i="11"/>
  <c r="AK78" i="11"/>
  <c r="AL78" i="11"/>
  <c r="AV78" i="11"/>
  <c r="AD79" i="11"/>
  <c r="AE79" i="11"/>
  <c r="AF79" i="11"/>
  <c r="AG79" i="11"/>
  <c r="AH79" i="11"/>
  <c r="AI79" i="11"/>
  <c r="AJ79" i="11"/>
  <c r="AK79" i="11"/>
  <c r="AL79" i="11"/>
  <c r="AV79" i="11"/>
  <c r="AD80" i="11"/>
  <c r="AE80" i="11"/>
  <c r="AF80" i="11"/>
  <c r="AG80" i="11"/>
  <c r="AH80" i="11"/>
  <c r="AI80" i="11"/>
  <c r="AJ80" i="11"/>
  <c r="AK80" i="11"/>
  <c r="AL80" i="11"/>
  <c r="AV80" i="11"/>
  <c r="AD81" i="11"/>
  <c r="AE81" i="11"/>
  <c r="AF81" i="11"/>
  <c r="AG81" i="11"/>
  <c r="AH81" i="11"/>
  <c r="AI81" i="11"/>
  <c r="AJ81" i="11"/>
  <c r="AK81" i="11"/>
  <c r="AL81" i="11"/>
  <c r="AV81" i="11"/>
  <c r="AD82" i="11"/>
  <c r="AE82" i="11"/>
  <c r="AF82" i="11"/>
  <c r="AG82" i="11"/>
  <c r="AH82" i="11"/>
  <c r="AI82" i="11"/>
  <c r="AJ82" i="11"/>
  <c r="AK82" i="11"/>
  <c r="AL82" i="11"/>
  <c r="AV82" i="11"/>
  <c r="AD83" i="11"/>
  <c r="AE83" i="11"/>
  <c r="AF83" i="11"/>
  <c r="AG83" i="11"/>
  <c r="AH83" i="11"/>
  <c r="AI83" i="11"/>
  <c r="AJ83" i="11"/>
  <c r="AK83" i="11"/>
  <c r="AL83" i="11"/>
  <c r="AV83" i="11"/>
  <c r="AD84" i="11"/>
  <c r="AE84" i="11"/>
  <c r="AF84" i="11"/>
  <c r="AG84" i="11"/>
  <c r="AH84" i="11"/>
  <c r="AI84" i="11"/>
  <c r="AJ84" i="11"/>
  <c r="AK84" i="11"/>
  <c r="AL84" i="11"/>
  <c r="AV84" i="11"/>
  <c r="AD85" i="11"/>
  <c r="AE85" i="11"/>
  <c r="AF85" i="11"/>
  <c r="AG85" i="11"/>
  <c r="AH85" i="11"/>
  <c r="AI85" i="11"/>
  <c r="AJ85" i="11"/>
  <c r="AK85" i="11"/>
  <c r="AL85" i="11"/>
  <c r="AV85" i="11"/>
  <c r="AD86" i="11"/>
  <c r="AE86" i="11"/>
  <c r="AF86" i="11"/>
  <c r="AG86" i="11"/>
  <c r="AH86" i="11"/>
  <c r="AI86" i="11"/>
  <c r="AJ86" i="11"/>
  <c r="AK86" i="11"/>
  <c r="AL86" i="11"/>
  <c r="AV86" i="11"/>
  <c r="AD87" i="11"/>
  <c r="AE87" i="11"/>
  <c r="AF87" i="11"/>
  <c r="AG87" i="11"/>
  <c r="AH87" i="11"/>
  <c r="AI87" i="11"/>
  <c r="AJ87" i="11"/>
  <c r="AK87" i="11"/>
  <c r="AL87" i="11"/>
  <c r="AV87" i="11"/>
  <c r="AD88" i="11"/>
  <c r="AE88" i="11"/>
  <c r="AF88" i="11"/>
  <c r="AG88" i="11"/>
  <c r="AH88" i="11"/>
  <c r="AI88" i="11"/>
  <c r="AJ88" i="11"/>
  <c r="AK88" i="11"/>
  <c r="AL88" i="11"/>
  <c r="AV88" i="11"/>
  <c r="AD89" i="11"/>
  <c r="AE89" i="11"/>
  <c r="AF89" i="11"/>
  <c r="AG89" i="11"/>
  <c r="AH89" i="11"/>
  <c r="AI89" i="11"/>
  <c r="AJ89" i="11"/>
  <c r="AK89" i="11"/>
  <c r="AL89" i="11"/>
  <c r="AV89" i="11"/>
  <c r="AD90" i="11"/>
  <c r="AE90" i="11"/>
  <c r="AF90" i="11"/>
  <c r="AG90" i="11"/>
  <c r="AH90" i="11"/>
  <c r="AI90" i="11"/>
  <c r="AJ90" i="11"/>
  <c r="AK90" i="11"/>
  <c r="AL90" i="11"/>
  <c r="AV90" i="11"/>
  <c r="AD91" i="11"/>
  <c r="AE91" i="11"/>
  <c r="AF91" i="11"/>
  <c r="AG91" i="11"/>
  <c r="AH91" i="11"/>
  <c r="AI91" i="11"/>
  <c r="AJ91" i="11"/>
  <c r="AK91" i="11"/>
  <c r="AL91" i="11"/>
  <c r="AV91" i="11"/>
  <c r="AD92" i="11"/>
  <c r="AE92" i="11"/>
  <c r="AF92" i="11"/>
  <c r="AG92" i="11"/>
  <c r="AH92" i="11"/>
  <c r="AI92" i="11"/>
  <c r="AJ92" i="11"/>
  <c r="AK92" i="11"/>
  <c r="AL92" i="11"/>
  <c r="AV92" i="11"/>
  <c r="AD93" i="11"/>
  <c r="AE93" i="11"/>
  <c r="AF93" i="11"/>
  <c r="AG93" i="11"/>
  <c r="AH93" i="11"/>
  <c r="AI93" i="11"/>
  <c r="AJ93" i="11"/>
  <c r="AK93" i="11"/>
  <c r="AL93" i="11"/>
  <c r="AV93" i="11"/>
  <c r="AD94" i="11"/>
  <c r="AE94" i="11"/>
  <c r="AF94" i="11"/>
  <c r="AG94" i="11"/>
  <c r="AH94" i="11"/>
  <c r="AI94" i="11"/>
  <c r="AJ94" i="11"/>
  <c r="AK94" i="11"/>
  <c r="AL94" i="11"/>
  <c r="AV94" i="11"/>
  <c r="AD95" i="11"/>
  <c r="AE95" i="11"/>
  <c r="AF95" i="11"/>
  <c r="AG95" i="11"/>
  <c r="AH95" i="11"/>
  <c r="AI95" i="11"/>
  <c r="AJ95" i="11"/>
  <c r="AK95" i="11"/>
  <c r="AL95" i="11"/>
  <c r="AV95" i="11"/>
  <c r="AD96" i="11"/>
  <c r="AE96" i="11"/>
  <c r="AF96" i="11"/>
  <c r="AG96" i="11"/>
  <c r="AH96" i="11"/>
  <c r="AI96" i="11"/>
  <c r="AJ96" i="11"/>
  <c r="AK96" i="11"/>
  <c r="AL96" i="11"/>
  <c r="AV96" i="11"/>
  <c r="AD97" i="11"/>
  <c r="AE97" i="11"/>
  <c r="AF97" i="11"/>
  <c r="AG97" i="11"/>
  <c r="AH97" i="11"/>
  <c r="AI97" i="11"/>
  <c r="AJ97" i="11"/>
  <c r="AK97" i="11"/>
  <c r="AL97" i="11"/>
  <c r="AV97" i="11"/>
  <c r="AD98" i="11"/>
  <c r="AE98" i="11"/>
  <c r="AF98" i="11"/>
  <c r="AG98" i="11"/>
  <c r="AH98" i="11"/>
  <c r="AI98" i="11"/>
  <c r="AJ98" i="11"/>
  <c r="AK98" i="11"/>
  <c r="AL98" i="11"/>
  <c r="AV98" i="11"/>
  <c r="AD99" i="11"/>
  <c r="AE99" i="11"/>
  <c r="AF99" i="11"/>
  <c r="AG99" i="11"/>
  <c r="AH99" i="11"/>
  <c r="AI99" i="11"/>
  <c r="AJ99" i="11"/>
  <c r="AK99" i="11"/>
  <c r="AL99" i="11"/>
  <c r="AV99" i="11"/>
  <c r="AD100" i="11"/>
  <c r="AE100" i="11"/>
  <c r="AF100" i="11"/>
  <c r="AG100" i="11"/>
  <c r="AH100" i="11"/>
  <c r="AI100" i="11"/>
  <c r="AJ100" i="11"/>
  <c r="AK100" i="11"/>
  <c r="AL100" i="11"/>
  <c r="AV100" i="11"/>
  <c r="AD101" i="11"/>
  <c r="AE101" i="11"/>
  <c r="AF101" i="11"/>
  <c r="AG101" i="11"/>
  <c r="AH101" i="11"/>
  <c r="AI101" i="11"/>
  <c r="AJ101" i="11"/>
  <c r="AK101" i="11"/>
  <c r="AL101" i="11"/>
  <c r="AV101" i="11"/>
  <c r="AD102" i="11"/>
  <c r="AE102" i="11"/>
  <c r="AF102" i="11"/>
  <c r="AG102" i="11"/>
  <c r="AH102" i="11"/>
  <c r="AI102" i="11"/>
  <c r="AJ102" i="11"/>
  <c r="AK102" i="11"/>
  <c r="AL102" i="11"/>
  <c r="AV102" i="11"/>
  <c r="AD103" i="11"/>
  <c r="AE103" i="11"/>
  <c r="AF103" i="11"/>
  <c r="AG103" i="11"/>
  <c r="AH103" i="11"/>
  <c r="AI103" i="11"/>
  <c r="AJ103" i="11"/>
  <c r="AK103" i="11"/>
  <c r="AL103" i="11"/>
  <c r="AV103" i="11"/>
  <c r="AD104" i="11"/>
  <c r="AE104" i="11"/>
  <c r="AF104" i="11"/>
  <c r="AG104" i="11"/>
  <c r="AH104" i="11"/>
  <c r="AI104" i="11"/>
  <c r="AJ104" i="11"/>
  <c r="AK104" i="11"/>
  <c r="AL104" i="11"/>
  <c r="AV104" i="11"/>
  <c r="AD105" i="11"/>
  <c r="AE105" i="11"/>
  <c r="AF105" i="11"/>
  <c r="AG105" i="11"/>
  <c r="AH105" i="11"/>
  <c r="AI105" i="11"/>
  <c r="AJ105" i="11"/>
  <c r="AK105" i="11"/>
  <c r="AL105" i="11"/>
  <c r="AV105" i="11"/>
  <c r="AD106" i="11"/>
  <c r="AE106" i="11"/>
  <c r="AF106" i="11"/>
  <c r="AG106" i="11"/>
  <c r="AH106" i="11"/>
  <c r="AI106" i="11"/>
  <c r="AJ106" i="11"/>
  <c r="AK106" i="11"/>
  <c r="AL106" i="11"/>
  <c r="AV106" i="11"/>
  <c r="AD107" i="11"/>
  <c r="AE107" i="11"/>
  <c r="AF107" i="11"/>
  <c r="AG107" i="11"/>
  <c r="AH107" i="11"/>
  <c r="AI107" i="11"/>
  <c r="AJ107" i="11"/>
  <c r="AK107" i="11"/>
  <c r="AL107" i="11"/>
  <c r="AV107" i="11"/>
  <c r="AD108" i="11"/>
  <c r="AE108" i="11"/>
  <c r="AF108" i="11"/>
  <c r="AG108" i="11"/>
  <c r="AH108" i="11"/>
  <c r="AI108" i="11"/>
  <c r="AJ108" i="11"/>
  <c r="AK108" i="11"/>
  <c r="AL108" i="11"/>
  <c r="AV108" i="11"/>
  <c r="AD109" i="11"/>
  <c r="AE109" i="11"/>
  <c r="AF109" i="11"/>
  <c r="AG109" i="11"/>
  <c r="AH109" i="11"/>
  <c r="AI109" i="11"/>
  <c r="AJ109" i="11"/>
  <c r="AK109" i="11"/>
  <c r="AL109" i="11"/>
  <c r="AV109" i="11"/>
  <c r="AD110" i="11"/>
  <c r="AE110" i="11"/>
  <c r="AF110" i="11"/>
  <c r="AG110" i="11"/>
  <c r="AH110" i="11"/>
  <c r="AI110" i="11"/>
  <c r="AJ110" i="11"/>
  <c r="AK110" i="11"/>
  <c r="AL110" i="11"/>
  <c r="AV110" i="11"/>
  <c r="AD111" i="11"/>
  <c r="AE111" i="11"/>
  <c r="AF111" i="11"/>
  <c r="AG111" i="11"/>
  <c r="AH111" i="11"/>
  <c r="AI111" i="11"/>
  <c r="AJ111" i="11"/>
  <c r="AK111" i="11"/>
  <c r="AL111" i="11"/>
  <c r="AV111" i="11"/>
  <c r="AD112" i="11"/>
  <c r="AE112" i="11"/>
  <c r="AF112" i="11"/>
  <c r="AG112" i="11"/>
  <c r="AH112" i="11"/>
  <c r="AI112" i="11"/>
  <c r="AJ112" i="11"/>
  <c r="AK112" i="11"/>
  <c r="AL112" i="11"/>
  <c r="AV112" i="11"/>
  <c r="AD113" i="11"/>
  <c r="AE113" i="11"/>
  <c r="AF113" i="11"/>
  <c r="AG113" i="11"/>
  <c r="AH113" i="11"/>
  <c r="AI113" i="11"/>
  <c r="AJ113" i="11"/>
  <c r="AK113" i="11"/>
  <c r="AL113" i="11"/>
  <c r="AV113" i="11"/>
  <c r="AD114" i="11"/>
  <c r="AE114" i="11"/>
  <c r="AF114" i="11"/>
  <c r="AG114" i="11"/>
  <c r="AH114" i="11"/>
  <c r="AI114" i="11"/>
  <c r="AJ114" i="11"/>
  <c r="AK114" i="11"/>
  <c r="AL114" i="11"/>
  <c r="AV114" i="11"/>
  <c r="AD115" i="11"/>
  <c r="AE115" i="11"/>
  <c r="AF115" i="11"/>
  <c r="AG115" i="11"/>
  <c r="AH115" i="11"/>
  <c r="AI115" i="11"/>
  <c r="AJ115" i="11"/>
  <c r="AK115" i="11"/>
  <c r="AL115" i="11"/>
  <c r="AV115" i="11"/>
  <c r="AD116" i="11"/>
  <c r="AE116" i="11"/>
  <c r="AF116" i="11"/>
  <c r="AG116" i="11"/>
  <c r="AH116" i="11"/>
  <c r="AI116" i="11"/>
  <c r="AJ116" i="11"/>
  <c r="AK116" i="11"/>
  <c r="AL116" i="11"/>
  <c r="AV116" i="11"/>
  <c r="AD117" i="11"/>
  <c r="AE117" i="11"/>
  <c r="AF117" i="11"/>
  <c r="AG117" i="11"/>
  <c r="AH117" i="11"/>
  <c r="AI117" i="11"/>
  <c r="AJ117" i="11"/>
  <c r="AK117" i="11"/>
  <c r="AL117" i="11"/>
  <c r="AV117" i="11"/>
  <c r="AD118" i="11"/>
  <c r="AE118" i="11"/>
  <c r="AF118" i="11"/>
  <c r="AG118" i="11"/>
  <c r="AH118" i="11"/>
  <c r="AI118" i="11"/>
  <c r="AJ118" i="11"/>
  <c r="AK118" i="11"/>
  <c r="AL118" i="11"/>
  <c r="AV118" i="11"/>
  <c r="AD119" i="11"/>
  <c r="AE119" i="11"/>
  <c r="AF119" i="11"/>
  <c r="AG119" i="11"/>
  <c r="AH119" i="11"/>
  <c r="AI119" i="11"/>
  <c r="AJ119" i="11"/>
  <c r="AK119" i="11"/>
  <c r="AL119" i="11"/>
  <c r="AV119" i="11"/>
  <c r="AD120" i="11"/>
  <c r="AE120" i="11"/>
  <c r="AF120" i="11"/>
  <c r="AG120" i="11"/>
  <c r="AH120" i="11"/>
  <c r="AI120" i="11"/>
  <c r="AJ120" i="11"/>
  <c r="AK120" i="11"/>
  <c r="AL120" i="11"/>
  <c r="AV120" i="11"/>
  <c r="AD121" i="11"/>
  <c r="AE121" i="11"/>
  <c r="AF121" i="11"/>
  <c r="AG121" i="11"/>
  <c r="AH121" i="11"/>
  <c r="AI121" i="11"/>
  <c r="AJ121" i="11"/>
  <c r="AK121" i="11"/>
  <c r="AL121" i="11"/>
  <c r="AV121" i="11"/>
  <c r="AD122" i="11"/>
  <c r="AE122" i="11"/>
  <c r="AF122" i="11"/>
  <c r="AG122" i="11"/>
  <c r="AH122" i="11"/>
  <c r="AI122" i="11"/>
  <c r="AJ122" i="11"/>
  <c r="AK122" i="11"/>
  <c r="AL122" i="11"/>
  <c r="AV122" i="11"/>
  <c r="AD123" i="11"/>
  <c r="AE123" i="11"/>
  <c r="AF123" i="11"/>
  <c r="AG123" i="11"/>
  <c r="AH123" i="11"/>
  <c r="AI123" i="11"/>
  <c r="AJ123" i="11"/>
  <c r="AK123" i="11"/>
  <c r="AL123" i="11"/>
  <c r="AV123" i="11"/>
  <c r="AD124" i="11"/>
  <c r="AE124" i="11"/>
  <c r="AF124" i="11"/>
  <c r="AG124" i="11"/>
  <c r="AH124" i="11"/>
  <c r="AI124" i="11"/>
  <c r="AJ124" i="11"/>
  <c r="AK124" i="11"/>
  <c r="AL124" i="11"/>
  <c r="AV124" i="11"/>
  <c r="AD125" i="11"/>
  <c r="AE125" i="11"/>
  <c r="AF125" i="11"/>
  <c r="AG125" i="11"/>
  <c r="AH125" i="11"/>
  <c r="AI125" i="11"/>
  <c r="AJ125" i="11"/>
  <c r="AK125" i="11"/>
  <c r="AL125" i="11"/>
  <c r="AV125" i="11"/>
  <c r="AD126" i="11"/>
  <c r="AE126" i="11"/>
  <c r="AF126" i="11"/>
  <c r="AG126" i="11"/>
  <c r="AH126" i="11"/>
  <c r="AI126" i="11"/>
  <c r="AJ126" i="11"/>
  <c r="AK126" i="11"/>
  <c r="AL126" i="11"/>
  <c r="AV126" i="11"/>
  <c r="AD127" i="11"/>
  <c r="AE127" i="11"/>
  <c r="AF127" i="11"/>
  <c r="AG127" i="11"/>
  <c r="AH127" i="11"/>
  <c r="AI127" i="11"/>
  <c r="AJ127" i="11"/>
  <c r="AK127" i="11"/>
  <c r="AL127" i="11"/>
  <c r="AV127" i="11"/>
  <c r="AD128" i="11"/>
  <c r="AE128" i="11"/>
  <c r="AF128" i="11"/>
  <c r="AG128" i="11"/>
  <c r="AH128" i="11"/>
  <c r="AI128" i="11"/>
  <c r="AJ128" i="11"/>
  <c r="AK128" i="11"/>
  <c r="AL128" i="11"/>
  <c r="AV128" i="11"/>
  <c r="AD129" i="11"/>
  <c r="AE129" i="11"/>
  <c r="AF129" i="11"/>
  <c r="AG129" i="11"/>
  <c r="AH129" i="11"/>
  <c r="AI129" i="11"/>
  <c r="AJ129" i="11"/>
  <c r="AK129" i="11"/>
  <c r="AL129" i="11"/>
  <c r="AV129" i="11"/>
  <c r="AD130" i="11"/>
  <c r="AE130" i="11"/>
  <c r="AF130" i="11"/>
  <c r="AG130" i="11"/>
  <c r="AH130" i="11"/>
  <c r="AI130" i="11"/>
  <c r="AJ130" i="11"/>
  <c r="AK130" i="11"/>
  <c r="AL130" i="11"/>
  <c r="AV130" i="11"/>
  <c r="AD131" i="11"/>
  <c r="AE131" i="11"/>
  <c r="AF131" i="11"/>
  <c r="AG131" i="11"/>
  <c r="AH131" i="11"/>
  <c r="AI131" i="11"/>
  <c r="AJ131" i="11"/>
  <c r="AK131" i="11"/>
  <c r="AL131" i="11"/>
  <c r="AV131" i="11"/>
  <c r="AD132" i="11"/>
  <c r="AE132" i="11"/>
  <c r="AF132" i="11"/>
  <c r="AG132" i="11"/>
  <c r="AH132" i="11"/>
  <c r="AI132" i="11"/>
  <c r="AJ132" i="11"/>
  <c r="AK132" i="11"/>
  <c r="AL132" i="11"/>
  <c r="AV132" i="11"/>
  <c r="AD133" i="11"/>
  <c r="AE133" i="11"/>
  <c r="AF133" i="11"/>
  <c r="AG133" i="11"/>
  <c r="AH133" i="11"/>
  <c r="AI133" i="11"/>
  <c r="AJ133" i="11"/>
  <c r="AK133" i="11"/>
  <c r="AL133" i="11"/>
  <c r="AV133" i="11"/>
  <c r="AD134" i="11"/>
  <c r="AE134" i="11"/>
  <c r="AF134" i="11"/>
  <c r="AG134" i="11"/>
  <c r="AH134" i="11"/>
  <c r="AI134" i="11"/>
  <c r="AJ134" i="11"/>
  <c r="AK134" i="11"/>
  <c r="AL134" i="11"/>
  <c r="AV134" i="11"/>
  <c r="AD135" i="11"/>
  <c r="AE135" i="11"/>
  <c r="AF135" i="11"/>
  <c r="AG135" i="11"/>
  <c r="AH135" i="11"/>
  <c r="AI135" i="11"/>
  <c r="AJ135" i="11"/>
  <c r="AK135" i="11"/>
  <c r="AL135" i="11"/>
  <c r="AV135" i="11"/>
  <c r="AD136" i="11"/>
  <c r="AE136" i="11"/>
  <c r="AF136" i="11"/>
  <c r="AG136" i="11"/>
  <c r="AH136" i="11"/>
  <c r="AI136" i="11"/>
  <c r="AJ136" i="11"/>
  <c r="AK136" i="11"/>
  <c r="AL136" i="11"/>
  <c r="AV136" i="11"/>
  <c r="AD137" i="11"/>
  <c r="AE137" i="11"/>
  <c r="AF137" i="11"/>
  <c r="AG137" i="11"/>
  <c r="AH137" i="11"/>
  <c r="AI137" i="11"/>
  <c r="AJ137" i="11"/>
  <c r="AK137" i="11"/>
  <c r="AL137" i="11"/>
  <c r="AV137" i="11"/>
  <c r="AD138" i="11"/>
  <c r="AE138" i="11"/>
  <c r="AF138" i="11"/>
  <c r="AG138" i="11"/>
  <c r="AH138" i="11"/>
  <c r="AI138" i="11"/>
  <c r="AJ138" i="11"/>
  <c r="AK138" i="11"/>
  <c r="AL138" i="11"/>
  <c r="AV138" i="11"/>
  <c r="AD139" i="11"/>
  <c r="AE139" i="11"/>
  <c r="AF139" i="11"/>
  <c r="AG139" i="11"/>
  <c r="AH139" i="11"/>
  <c r="AI139" i="11"/>
  <c r="AJ139" i="11"/>
  <c r="AK139" i="11"/>
  <c r="AL139" i="11"/>
  <c r="AV139" i="11"/>
  <c r="AD140" i="11"/>
  <c r="AE140" i="11"/>
  <c r="AF140" i="11"/>
  <c r="AG140" i="11"/>
  <c r="AH140" i="11"/>
  <c r="AI140" i="11"/>
  <c r="AJ140" i="11"/>
  <c r="AK140" i="11"/>
  <c r="AL140" i="11"/>
  <c r="AV140" i="11"/>
  <c r="AD141" i="11"/>
  <c r="AE141" i="11"/>
  <c r="AF141" i="11"/>
  <c r="AG141" i="11"/>
  <c r="AH141" i="11"/>
  <c r="AI141" i="11"/>
  <c r="AJ141" i="11"/>
  <c r="AK141" i="11"/>
  <c r="AL141" i="11"/>
  <c r="AV141" i="11"/>
  <c r="AD142" i="11"/>
  <c r="AE142" i="11"/>
  <c r="AF142" i="11"/>
  <c r="AG142" i="11"/>
  <c r="AH142" i="11"/>
  <c r="AI142" i="11"/>
  <c r="AJ142" i="11"/>
  <c r="AK142" i="11"/>
  <c r="AL142" i="11"/>
  <c r="AV142" i="11"/>
  <c r="AD143" i="11"/>
  <c r="AE143" i="11"/>
  <c r="AF143" i="11"/>
  <c r="AG143" i="11"/>
  <c r="AH143" i="11"/>
  <c r="AI143" i="11"/>
  <c r="AJ143" i="11"/>
  <c r="AK143" i="11"/>
  <c r="AL143" i="11"/>
  <c r="AV143" i="11"/>
  <c r="AD144" i="11"/>
  <c r="AE144" i="11"/>
  <c r="AF144" i="11"/>
  <c r="AG144" i="11"/>
  <c r="AH144" i="11"/>
  <c r="AI144" i="11"/>
  <c r="AJ144" i="11"/>
  <c r="AK144" i="11"/>
  <c r="AL144" i="11"/>
  <c r="AV144" i="11"/>
  <c r="AD145" i="11"/>
  <c r="AE145" i="11"/>
  <c r="AF145" i="11"/>
  <c r="AG145" i="11"/>
  <c r="AH145" i="11"/>
  <c r="AI145" i="11"/>
  <c r="AJ145" i="11"/>
  <c r="AK145" i="11"/>
  <c r="AL145" i="11"/>
  <c r="AV145" i="11"/>
  <c r="AD146" i="11"/>
  <c r="AE146" i="11"/>
  <c r="AF146" i="11"/>
  <c r="AG146" i="11"/>
  <c r="AH146" i="11"/>
  <c r="AI146" i="11"/>
  <c r="AJ146" i="11"/>
  <c r="AK146" i="11"/>
  <c r="AL146" i="11"/>
  <c r="AV146" i="11"/>
  <c r="AD147" i="11"/>
  <c r="AE147" i="11"/>
  <c r="AF147" i="11"/>
  <c r="AG147" i="11"/>
  <c r="AH147" i="11"/>
  <c r="AI147" i="11"/>
  <c r="AJ147" i="11"/>
  <c r="AK147" i="11"/>
  <c r="AL147" i="11"/>
  <c r="AV147" i="11"/>
  <c r="AD148" i="11"/>
  <c r="AE148" i="11"/>
  <c r="AF148" i="11"/>
  <c r="AG148" i="11"/>
  <c r="AH148" i="11"/>
  <c r="AI148" i="11"/>
  <c r="AJ148" i="11"/>
  <c r="AK148" i="11"/>
  <c r="AL148" i="11"/>
  <c r="AV148" i="11"/>
  <c r="AD149" i="11"/>
  <c r="AE149" i="11"/>
  <c r="AF149" i="11"/>
  <c r="AG149" i="11"/>
  <c r="AH149" i="11"/>
  <c r="AI149" i="11"/>
  <c r="AJ149" i="11"/>
  <c r="AK149" i="11"/>
  <c r="AL149" i="11"/>
  <c r="AV149" i="11"/>
  <c r="AD150" i="11"/>
  <c r="AE150" i="11"/>
  <c r="AF150" i="11"/>
  <c r="AG150" i="11"/>
  <c r="AH150" i="11"/>
  <c r="AI150" i="11"/>
  <c r="AJ150" i="11"/>
  <c r="AK150" i="11"/>
  <c r="AL150" i="11"/>
  <c r="AV150" i="11"/>
  <c r="AD151" i="11"/>
  <c r="AE151" i="11"/>
  <c r="AF151" i="11"/>
  <c r="AG151" i="11"/>
  <c r="AH151" i="11"/>
  <c r="AI151" i="11"/>
  <c r="AJ151" i="11"/>
  <c r="AK151" i="11"/>
  <c r="AL151" i="11"/>
  <c r="AV151" i="11"/>
  <c r="AD152" i="11"/>
  <c r="AE152" i="11"/>
  <c r="AF152" i="11"/>
  <c r="AG152" i="11"/>
  <c r="AH152" i="11"/>
  <c r="AI152" i="11"/>
  <c r="AJ152" i="11"/>
  <c r="AK152" i="11"/>
  <c r="AL152" i="11"/>
  <c r="AV152" i="11"/>
  <c r="AD153" i="11"/>
  <c r="AE153" i="11"/>
  <c r="AF153" i="11"/>
  <c r="AG153" i="11"/>
  <c r="AH153" i="11"/>
  <c r="AI153" i="11"/>
  <c r="AJ153" i="11"/>
  <c r="AK153" i="11"/>
  <c r="AL153" i="11"/>
  <c r="AV153" i="11"/>
  <c r="AD154" i="11"/>
  <c r="AE154" i="11"/>
  <c r="AF154" i="11"/>
  <c r="AG154" i="11"/>
  <c r="AH154" i="11"/>
  <c r="AI154" i="11"/>
  <c r="AJ154" i="11"/>
  <c r="AK154" i="11"/>
  <c r="AL154" i="11"/>
  <c r="AV154" i="11"/>
  <c r="AD155" i="11"/>
  <c r="AE155" i="11"/>
  <c r="AF155" i="11"/>
  <c r="AG155" i="11"/>
  <c r="AH155" i="11"/>
  <c r="AI155" i="11"/>
  <c r="AJ155" i="11"/>
  <c r="AK155" i="11"/>
  <c r="AL155" i="11"/>
  <c r="AV155" i="11"/>
  <c r="AD156" i="11"/>
  <c r="AE156" i="11"/>
  <c r="AF156" i="11"/>
  <c r="AG156" i="11"/>
  <c r="AH156" i="11"/>
  <c r="AI156" i="11"/>
  <c r="AJ156" i="11"/>
  <c r="AK156" i="11"/>
  <c r="AL156" i="11"/>
  <c r="AV156" i="11"/>
  <c r="AD157" i="11"/>
  <c r="AE157" i="11"/>
  <c r="AF157" i="11"/>
  <c r="AG157" i="11"/>
  <c r="AH157" i="11"/>
  <c r="AI157" i="11"/>
  <c r="AJ157" i="11"/>
  <c r="AK157" i="11"/>
  <c r="AL157" i="11"/>
  <c r="AV157" i="11"/>
  <c r="AD158" i="11"/>
  <c r="AE158" i="11"/>
  <c r="AF158" i="11"/>
  <c r="AG158" i="11"/>
  <c r="AH158" i="11"/>
  <c r="AI158" i="11"/>
  <c r="AJ158" i="11"/>
  <c r="AK158" i="11"/>
  <c r="AL158" i="11"/>
  <c r="AV158" i="11"/>
  <c r="AD159" i="11"/>
  <c r="AE159" i="11"/>
  <c r="AF159" i="11"/>
  <c r="AG159" i="11"/>
  <c r="AH159" i="11"/>
  <c r="AI159" i="11"/>
  <c r="AJ159" i="11"/>
  <c r="AK159" i="11"/>
  <c r="AL159" i="11"/>
  <c r="AV159" i="11"/>
  <c r="AD160" i="11"/>
  <c r="AE160" i="11"/>
  <c r="AF160" i="11"/>
  <c r="AG160" i="11"/>
  <c r="AH160" i="11"/>
  <c r="AI160" i="11"/>
  <c r="AJ160" i="11"/>
  <c r="AK160" i="11"/>
  <c r="AL160" i="11"/>
  <c r="AV160" i="11"/>
  <c r="AD161" i="11"/>
  <c r="AE161" i="11"/>
  <c r="AF161" i="11"/>
  <c r="AG161" i="11"/>
  <c r="AH161" i="11"/>
  <c r="AI161" i="11"/>
  <c r="AJ161" i="11"/>
  <c r="AK161" i="11"/>
  <c r="AL161" i="11"/>
  <c r="AV161" i="11"/>
  <c r="AD162" i="11"/>
  <c r="AE162" i="11"/>
  <c r="AF162" i="11"/>
  <c r="AG162" i="11"/>
  <c r="AH162" i="11"/>
  <c r="AI162" i="11"/>
  <c r="AJ162" i="11"/>
  <c r="AK162" i="11"/>
  <c r="AL162" i="11"/>
  <c r="AV162" i="11"/>
  <c r="AD163" i="11"/>
  <c r="AE163" i="11"/>
  <c r="AF163" i="11"/>
  <c r="AG163" i="11"/>
  <c r="AH163" i="11"/>
  <c r="AI163" i="11"/>
  <c r="AJ163" i="11"/>
  <c r="AK163" i="11"/>
  <c r="AL163" i="11"/>
  <c r="AV163" i="11"/>
  <c r="AD164" i="11"/>
  <c r="AE164" i="11"/>
  <c r="AF164" i="11"/>
  <c r="AG164" i="11"/>
  <c r="AH164" i="11"/>
  <c r="AI164" i="11"/>
  <c r="AJ164" i="11"/>
  <c r="AK164" i="11"/>
  <c r="AL164" i="11"/>
  <c r="AV164" i="11"/>
  <c r="AD165" i="11"/>
  <c r="AE165" i="11"/>
  <c r="AF165" i="11"/>
  <c r="AG165" i="11"/>
  <c r="AH165" i="11"/>
  <c r="AI165" i="11"/>
  <c r="AJ165" i="11"/>
  <c r="AK165" i="11"/>
  <c r="AL165" i="11"/>
  <c r="AV165" i="11"/>
  <c r="AD166" i="11"/>
  <c r="AE166" i="11"/>
  <c r="AF166" i="11"/>
  <c r="AG166" i="11"/>
  <c r="AH166" i="11"/>
  <c r="AI166" i="11"/>
  <c r="AJ166" i="11"/>
  <c r="AK166" i="11"/>
  <c r="AL166" i="11"/>
  <c r="AV166" i="11"/>
  <c r="AD167" i="11"/>
  <c r="AE167" i="11"/>
  <c r="AF167" i="11"/>
  <c r="AG167" i="11"/>
  <c r="AH167" i="11"/>
  <c r="AI167" i="11"/>
  <c r="AJ167" i="11"/>
  <c r="AK167" i="11"/>
  <c r="AL167" i="11"/>
  <c r="AV167" i="11"/>
  <c r="AD168" i="11"/>
  <c r="AE168" i="11"/>
  <c r="AF168" i="11"/>
  <c r="AG168" i="11"/>
  <c r="AH168" i="11"/>
  <c r="AI168" i="11"/>
  <c r="AJ168" i="11"/>
  <c r="AK168" i="11"/>
  <c r="AL168" i="11"/>
  <c r="AV168" i="11"/>
  <c r="AD169" i="11"/>
  <c r="AE169" i="11"/>
  <c r="AF169" i="11"/>
  <c r="AG169" i="11"/>
  <c r="AH169" i="11"/>
  <c r="AI169" i="11"/>
  <c r="AJ169" i="11"/>
  <c r="AK169" i="11"/>
  <c r="AL169" i="11"/>
  <c r="AV169" i="11"/>
  <c r="AD170" i="11"/>
  <c r="AE170" i="11"/>
  <c r="AF170" i="11"/>
  <c r="AG170" i="11"/>
  <c r="AH170" i="11"/>
  <c r="AI170" i="11"/>
  <c r="AJ170" i="11"/>
  <c r="AK170" i="11"/>
  <c r="AL170" i="11"/>
  <c r="AV170" i="11"/>
  <c r="AD171" i="11"/>
  <c r="AE171" i="11"/>
  <c r="AF171" i="11"/>
  <c r="AG171" i="11"/>
  <c r="AH171" i="11"/>
  <c r="AI171" i="11"/>
  <c r="AJ171" i="11"/>
  <c r="AK171" i="11"/>
  <c r="AL171" i="11"/>
  <c r="AV171" i="11"/>
  <c r="AD172" i="11"/>
  <c r="AE172" i="11"/>
  <c r="AF172" i="11"/>
  <c r="AG172" i="11"/>
  <c r="AH172" i="11"/>
  <c r="AI172" i="11"/>
  <c r="AJ172" i="11"/>
  <c r="AK172" i="11"/>
  <c r="AL172" i="11"/>
  <c r="AV172" i="11"/>
  <c r="AD173" i="11"/>
  <c r="AE173" i="11"/>
  <c r="AF173" i="11"/>
  <c r="AG173" i="11"/>
  <c r="AH173" i="11"/>
  <c r="AI173" i="11"/>
  <c r="AJ173" i="11"/>
  <c r="AK173" i="11"/>
  <c r="AL173" i="11"/>
  <c r="AV173" i="11"/>
  <c r="AD174" i="11"/>
  <c r="AE174" i="11"/>
  <c r="AF174" i="11"/>
  <c r="AG174" i="11"/>
  <c r="AH174" i="11"/>
  <c r="AI174" i="11"/>
  <c r="AJ174" i="11"/>
  <c r="AK174" i="11"/>
  <c r="AL174" i="11"/>
  <c r="AV174" i="11"/>
  <c r="AD175" i="11"/>
  <c r="AE175" i="11"/>
  <c r="AF175" i="11"/>
  <c r="AG175" i="11"/>
  <c r="AH175" i="11"/>
  <c r="AI175" i="11"/>
  <c r="AJ175" i="11"/>
  <c r="AK175" i="11"/>
  <c r="AL175" i="11"/>
  <c r="AV175" i="11"/>
  <c r="AD176" i="11"/>
  <c r="AE176" i="11"/>
  <c r="AF176" i="11"/>
  <c r="AG176" i="11"/>
  <c r="AH176" i="11"/>
  <c r="AI176" i="11"/>
  <c r="AJ176" i="11"/>
  <c r="AK176" i="11"/>
  <c r="AL176" i="11"/>
  <c r="AV176" i="11"/>
  <c r="AD177" i="11"/>
  <c r="AE177" i="11"/>
  <c r="AF177" i="11"/>
  <c r="AG177" i="11"/>
  <c r="AH177" i="11"/>
  <c r="AI177" i="11"/>
  <c r="AJ177" i="11"/>
  <c r="AK177" i="11"/>
  <c r="AL177" i="11"/>
  <c r="AV177" i="11"/>
  <c r="AD178" i="11"/>
  <c r="AE178" i="11"/>
  <c r="AF178" i="11"/>
  <c r="AG178" i="11"/>
  <c r="AH178" i="11"/>
  <c r="AI178" i="11"/>
  <c r="AJ178" i="11"/>
  <c r="AK178" i="11"/>
  <c r="AL178" i="11"/>
  <c r="AV178" i="11"/>
  <c r="AD179" i="11"/>
  <c r="AE179" i="11"/>
  <c r="AF179" i="11"/>
  <c r="AG179" i="11"/>
  <c r="AH179" i="11"/>
  <c r="AI179" i="11"/>
  <c r="AJ179" i="11"/>
  <c r="AK179" i="11"/>
  <c r="AL179" i="11"/>
  <c r="AV179" i="11"/>
  <c r="AD180" i="11"/>
  <c r="AE180" i="11"/>
  <c r="AF180" i="11"/>
  <c r="AG180" i="11"/>
  <c r="AH180" i="11"/>
  <c r="AI180" i="11"/>
  <c r="AJ180" i="11"/>
  <c r="AK180" i="11"/>
  <c r="AL180" i="11"/>
  <c r="AV180" i="11"/>
  <c r="AD181" i="11"/>
  <c r="AE181" i="11"/>
  <c r="AF181" i="11"/>
  <c r="AG181" i="11"/>
  <c r="AH181" i="11"/>
  <c r="AI181" i="11"/>
  <c r="AJ181" i="11"/>
  <c r="AK181" i="11"/>
  <c r="AL181" i="11"/>
  <c r="AV181" i="11"/>
  <c r="AD182" i="11"/>
  <c r="AE182" i="11"/>
  <c r="AF182" i="11"/>
  <c r="AG182" i="11"/>
  <c r="AH182" i="11"/>
  <c r="AI182" i="11"/>
  <c r="AJ182" i="11"/>
  <c r="AK182" i="11"/>
  <c r="AL182" i="11"/>
  <c r="AV182" i="11"/>
  <c r="AD183" i="11"/>
  <c r="AE183" i="11"/>
  <c r="AF183" i="11"/>
  <c r="AG183" i="11"/>
  <c r="AH183" i="11"/>
  <c r="AI183" i="11"/>
  <c r="AJ183" i="11"/>
  <c r="AK183" i="11"/>
  <c r="AL183" i="11"/>
  <c r="AV183" i="11"/>
  <c r="AD184" i="11"/>
  <c r="AE184" i="11"/>
  <c r="AF184" i="11"/>
  <c r="AG184" i="11"/>
  <c r="AH184" i="11"/>
  <c r="AI184" i="11"/>
  <c r="AJ184" i="11"/>
  <c r="AK184" i="11"/>
  <c r="AL184" i="11"/>
  <c r="AV184" i="11"/>
  <c r="AD185" i="11"/>
  <c r="AE185" i="11"/>
  <c r="AF185" i="11"/>
  <c r="AG185" i="11"/>
  <c r="AH185" i="11"/>
  <c r="AI185" i="11"/>
  <c r="AJ185" i="11"/>
  <c r="AK185" i="11"/>
  <c r="AL185" i="11"/>
  <c r="AV185" i="11"/>
  <c r="AD186" i="11"/>
  <c r="AE186" i="11"/>
  <c r="AF186" i="11"/>
  <c r="AG186" i="11"/>
  <c r="AH186" i="11"/>
  <c r="AI186" i="11"/>
  <c r="AJ186" i="11"/>
  <c r="AK186" i="11"/>
  <c r="AL186" i="11"/>
  <c r="AV186" i="11"/>
  <c r="AD187" i="11"/>
  <c r="AE187" i="11"/>
  <c r="AF187" i="11"/>
  <c r="AG187" i="11"/>
  <c r="AH187" i="11"/>
  <c r="AI187" i="11"/>
  <c r="AJ187" i="11"/>
  <c r="AK187" i="11"/>
  <c r="AL187" i="11"/>
  <c r="AV187" i="11"/>
  <c r="AD188" i="11"/>
  <c r="AE188" i="11"/>
  <c r="AF188" i="11"/>
  <c r="AG188" i="11"/>
  <c r="AH188" i="11"/>
  <c r="AI188" i="11"/>
  <c r="AJ188" i="11"/>
  <c r="AK188" i="11"/>
  <c r="AL188" i="11"/>
  <c r="AV188" i="11"/>
  <c r="AD189" i="11"/>
  <c r="AE189" i="11"/>
  <c r="AF189" i="11"/>
  <c r="AG189" i="11"/>
  <c r="AH189" i="11"/>
  <c r="AI189" i="11"/>
  <c r="AJ189" i="11"/>
  <c r="AK189" i="11"/>
  <c r="AL189" i="11"/>
  <c r="AV189" i="11"/>
  <c r="AD190" i="11"/>
  <c r="AE190" i="11"/>
  <c r="AF190" i="11"/>
  <c r="AG190" i="11"/>
  <c r="AH190" i="11"/>
  <c r="AI190" i="11"/>
  <c r="AJ190" i="11"/>
  <c r="AK190" i="11"/>
  <c r="AL190" i="11"/>
  <c r="AV190" i="11"/>
  <c r="AD191" i="11"/>
  <c r="AE191" i="11"/>
  <c r="AF191" i="11"/>
  <c r="AG191" i="11"/>
  <c r="AH191" i="11"/>
  <c r="AI191" i="11"/>
  <c r="AJ191" i="11"/>
  <c r="AK191" i="11"/>
  <c r="AL191" i="11"/>
  <c r="AV191" i="11"/>
  <c r="AD192" i="11"/>
  <c r="AE192" i="11"/>
  <c r="AF192" i="11"/>
  <c r="AG192" i="11"/>
  <c r="AH192" i="11"/>
  <c r="AI192" i="11"/>
  <c r="AJ192" i="11"/>
  <c r="AK192" i="11"/>
  <c r="AL192" i="11"/>
  <c r="AV192" i="11"/>
  <c r="AD193" i="11"/>
  <c r="AE193" i="11"/>
  <c r="AF193" i="11"/>
  <c r="AG193" i="11"/>
  <c r="AH193" i="11"/>
  <c r="AI193" i="11"/>
  <c r="AJ193" i="11"/>
  <c r="AK193" i="11"/>
  <c r="AL193" i="11"/>
  <c r="AV193" i="11"/>
  <c r="AD194" i="11"/>
  <c r="AE194" i="11"/>
  <c r="AF194" i="11"/>
  <c r="AG194" i="11"/>
  <c r="AH194" i="11"/>
  <c r="AI194" i="11"/>
  <c r="AJ194" i="11"/>
  <c r="AK194" i="11"/>
  <c r="AL194" i="11"/>
  <c r="AV194" i="11"/>
  <c r="AD195" i="11"/>
  <c r="AE195" i="11"/>
  <c r="AF195" i="11"/>
  <c r="AG195" i="11"/>
  <c r="AH195" i="11"/>
  <c r="AI195" i="11"/>
  <c r="AJ195" i="11"/>
  <c r="AK195" i="11"/>
  <c r="AL195" i="11"/>
  <c r="AV195" i="11"/>
  <c r="AD196" i="11"/>
  <c r="AE196" i="11"/>
  <c r="AF196" i="11"/>
  <c r="AG196" i="11"/>
  <c r="AH196" i="11"/>
  <c r="AI196" i="11"/>
  <c r="AJ196" i="11"/>
  <c r="AK196" i="11"/>
  <c r="AL196" i="11"/>
  <c r="AV196" i="11"/>
  <c r="AD197" i="11"/>
  <c r="AE197" i="11"/>
  <c r="AF197" i="11"/>
  <c r="AG197" i="11"/>
  <c r="AH197" i="11"/>
  <c r="AI197" i="11"/>
  <c r="AJ197" i="11"/>
  <c r="AK197" i="11"/>
  <c r="AL197" i="11"/>
  <c r="AV197" i="11"/>
  <c r="AD198" i="11"/>
  <c r="AE198" i="11"/>
  <c r="AF198" i="11"/>
  <c r="AG198" i="11"/>
  <c r="AH198" i="11"/>
  <c r="AI198" i="11"/>
  <c r="AJ198" i="11"/>
  <c r="AK198" i="11"/>
  <c r="AL198" i="11"/>
  <c r="AV198" i="11"/>
  <c r="AD199" i="11"/>
  <c r="AE199" i="11"/>
  <c r="AF199" i="11"/>
  <c r="AG199" i="11"/>
  <c r="AH199" i="11"/>
  <c r="AI199" i="11"/>
  <c r="AJ199" i="11"/>
  <c r="AK199" i="11"/>
  <c r="AL199" i="11"/>
  <c r="AV199" i="11"/>
  <c r="AD200" i="11"/>
  <c r="AE200" i="11"/>
  <c r="AF200" i="11"/>
  <c r="AG200" i="11"/>
  <c r="AH200" i="11"/>
  <c r="AI200" i="11"/>
  <c r="AJ200" i="11"/>
  <c r="AK200" i="11"/>
  <c r="AL200" i="11"/>
  <c r="AV200" i="11"/>
  <c r="AD201" i="11"/>
  <c r="AE201" i="11"/>
  <c r="AF201" i="11"/>
  <c r="AG201" i="11"/>
  <c r="AH201" i="11"/>
  <c r="AI201" i="11"/>
  <c r="AJ201" i="11"/>
  <c r="AK201" i="11"/>
  <c r="AL201" i="11"/>
  <c r="AV201" i="11"/>
  <c r="BG1" i="11"/>
  <c r="BE1" i="11"/>
  <c r="BF1" i="11"/>
  <c r="AV3" i="11"/>
  <c r="AV4" i="11"/>
  <c r="AV5" i="11"/>
  <c r="AV6" i="11"/>
  <c r="AV7" i="11"/>
  <c r="AV8" i="11"/>
  <c r="AV9" i="11"/>
  <c r="AV10" i="11"/>
  <c r="AV11" i="11"/>
  <c r="AV12" i="11"/>
  <c r="AV14" i="11"/>
  <c r="AV15" i="11"/>
  <c r="AV16" i="11"/>
  <c r="AV17" i="11"/>
  <c r="AV18" i="11"/>
  <c r="AV19" i="11"/>
  <c r="AV20" i="11"/>
  <c r="AV2" i="11"/>
  <c r="AV1" i="11"/>
  <c r="AW1" i="11"/>
  <c r="AX1" i="11"/>
  <c r="AY1" i="11"/>
  <c r="AZ1" i="11"/>
  <c r="BA1" i="11"/>
  <c r="BB1" i="11"/>
  <c r="BC1" i="11"/>
  <c r="BD1" i="11"/>
  <c r="AD3" i="11"/>
  <c r="AE3" i="11"/>
  <c r="AF3" i="11"/>
  <c r="AG3" i="11"/>
  <c r="AH3" i="11"/>
  <c r="AI3" i="11"/>
  <c r="AJ3" i="11"/>
  <c r="AK3" i="11"/>
  <c r="AL3" i="11"/>
  <c r="AD4" i="11"/>
  <c r="AE4" i="11"/>
  <c r="AF4" i="11"/>
  <c r="AG4" i="11"/>
  <c r="AH4" i="11"/>
  <c r="AI4" i="11"/>
  <c r="AJ4" i="11"/>
  <c r="AK4" i="11"/>
  <c r="AL4" i="11"/>
  <c r="AD5" i="11"/>
  <c r="AE5" i="11"/>
  <c r="AF5" i="11"/>
  <c r="AG5" i="11"/>
  <c r="AH5" i="11"/>
  <c r="AI5" i="11"/>
  <c r="AJ5" i="11"/>
  <c r="AK5" i="11"/>
  <c r="AL5" i="11"/>
  <c r="AD6" i="11"/>
  <c r="AE6" i="11"/>
  <c r="AF6" i="11"/>
  <c r="AG6" i="11"/>
  <c r="AH6" i="11"/>
  <c r="AI6" i="11"/>
  <c r="AJ6" i="11"/>
  <c r="AK6" i="11"/>
  <c r="AL6" i="11"/>
  <c r="AD7" i="11"/>
  <c r="AE7" i="11"/>
  <c r="AF7" i="11"/>
  <c r="AG7" i="11"/>
  <c r="AH7" i="11"/>
  <c r="AI7" i="11"/>
  <c r="AJ7" i="11"/>
  <c r="AK7" i="11"/>
  <c r="AL7" i="11"/>
  <c r="AD8" i="11"/>
  <c r="AE8" i="11"/>
  <c r="AF8" i="11"/>
  <c r="AG8" i="11"/>
  <c r="AH8" i="11"/>
  <c r="AI8" i="11"/>
  <c r="AJ8" i="11"/>
  <c r="AK8" i="11"/>
  <c r="AL8" i="11"/>
  <c r="AD9" i="11"/>
  <c r="AE9" i="11"/>
  <c r="AF9" i="11"/>
  <c r="AG9" i="11"/>
  <c r="AH9" i="11"/>
  <c r="AI9" i="11"/>
  <c r="AJ9" i="11"/>
  <c r="AK9" i="11"/>
  <c r="AL9" i="11"/>
  <c r="AD10" i="11"/>
  <c r="AE10" i="11"/>
  <c r="AF10" i="11"/>
  <c r="AG10" i="11"/>
  <c r="AH10" i="11"/>
  <c r="AI10" i="11"/>
  <c r="AJ10" i="11"/>
  <c r="AK10" i="11"/>
  <c r="AL10" i="11"/>
  <c r="AD11" i="11"/>
  <c r="AE11" i="11"/>
  <c r="AF11" i="11"/>
  <c r="AG11" i="11"/>
  <c r="AH11" i="11"/>
  <c r="AI11" i="11"/>
  <c r="AJ11" i="11"/>
  <c r="AK11" i="11"/>
  <c r="AL11" i="11"/>
  <c r="AD12" i="11"/>
  <c r="AE12" i="11"/>
  <c r="AF12" i="11"/>
  <c r="AG12" i="11"/>
  <c r="AH12" i="11"/>
  <c r="AI12" i="11"/>
  <c r="AJ12" i="11"/>
  <c r="AK12" i="11"/>
  <c r="AL12" i="11"/>
  <c r="AE13" i="11"/>
  <c r="AF13" i="11"/>
  <c r="AG13" i="11"/>
  <c r="AH13" i="11"/>
  <c r="AI13" i="11"/>
  <c r="AJ13" i="11"/>
  <c r="AK13" i="11"/>
  <c r="AL13" i="11"/>
  <c r="AD14" i="11"/>
  <c r="AE14" i="11"/>
  <c r="AF14" i="11"/>
  <c r="AG14" i="11"/>
  <c r="AH14" i="11"/>
  <c r="AI14" i="11"/>
  <c r="AJ14" i="11"/>
  <c r="AK14" i="11"/>
  <c r="AL14" i="11"/>
  <c r="AD15" i="11"/>
  <c r="AE15" i="11"/>
  <c r="AF15" i="11"/>
  <c r="AG15" i="11"/>
  <c r="AH15" i="11"/>
  <c r="AI15" i="11"/>
  <c r="AJ15" i="11"/>
  <c r="AK15" i="11"/>
  <c r="AL15" i="11"/>
  <c r="AD16" i="11"/>
  <c r="AE16" i="11"/>
  <c r="AF16" i="11"/>
  <c r="AG16" i="11"/>
  <c r="AH16" i="11"/>
  <c r="AI16" i="11"/>
  <c r="AJ16" i="11"/>
  <c r="AK16" i="11"/>
  <c r="AL16" i="11"/>
  <c r="AD17" i="11"/>
  <c r="AE17" i="11"/>
  <c r="AF17" i="11"/>
  <c r="AG17" i="11"/>
  <c r="AH17" i="11"/>
  <c r="AI17" i="11"/>
  <c r="AJ17" i="11"/>
  <c r="AK17" i="11"/>
  <c r="AL17" i="11"/>
  <c r="AD18" i="11"/>
  <c r="AE18" i="11"/>
  <c r="AF18" i="11"/>
  <c r="AG18" i="11"/>
  <c r="AH18" i="11"/>
  <c r="AI18" i="11"/>
  <c r="AJ18" i="11"/>
  <c r="AK18" i="11"/>
  <c r="AL18" i="11"/>
  <c r="AD19" i="11"/>
  <c r="AE19" i="11"/>
  <c r="AF19" i="11"/>
  <c r="AG19" i="11"/>
  <c r="AH19" i="11"/>
  <c r="AI19" i="11"/>
  <c r="AJ19" i="11"/>
  <c r="AK19" i="11"/>
  <c r="AL19" i="11"/>
  <c r="AD20" i="11"/>
  <c r="AE20" i="11"/>
  <c r="AF20" i="11"/>
  <c r="AG20" i="11"/>
  <c r="AH20" i="11"/>
  <c r="AI20" i="11"/>
  <c r="AJ20" i="11"/>
  <c r="AK20" i="11"/>
  <c r="AL20" i="11"/>
  <c r="AD2" i="11"/>
  <c r="AE2" i="11"/>
  <c r="AF2" i="11"/>
  <c r="AG2" i="11"/>
  <c r="AH2" i="11"/>
  <c r="AI2" i="11"/>
  <c r="AJ2" i="11"/>
  <c r="AK2" i="11"/>
  <c r="AL2" i="11"/>
  <c r="AD1" i="11"/>
  <c r="AE1" i="11"/>
  <c r="AF1" i="11"/>
  <c r="AG1" i="11"/>
  <c r="AH1" i="11"/>
  <c r="AI1" i="11"/>
  <c r="AJ1" i="11"/>
  <c r="AK1" i="11"/>
  <c r="AL1" i="11"/>
  <c r="AQ1" i="11"/>
  <c r="AR1" i="11"/>
  <c r="AS1" i="11"/>
  <c r="AT1" i="11"/>
  <c r="AU1" i="11"/>
  <c r="AB2" i="11"/>
  <c r="AC2" i="11"/>
  <c r="AB1" i="11"/>
  <c r="AC1" i="11"/>
  <c r="X1" i="11"/>
  <c r="Y2" i="11"/>
  <c r="W1" i="11"/>
  <c r="AP1" i="11"/>
  <c r="Y1" i="11"/>
  <c r="Q2" i="1" l="1"/>
  <c r="L2" i="1"/>
  <c r="P9" i="2"/>
  <c r="S9" i="2"/>
  <c r="P15" i="2"/>
  <c r="S15" i="2"/>
  <c r="P19" i="2"/>
  <c r="S19" i="2"/>
  <c r="D94" i="11"/>
  <c r="D86" i="11"/>
  <c r="D62" i="11"/>
  <c r="D54" i="11"/>
  <c r="D22" i="11"/>
  <c r="D102" i="11"/>
  <c r="D64" i="11"/>
  <c r="D32" i="11"/>
  <c r="D96" i="11"/>
  <c r="D80" i="11"/>
  <c r="D69" i="11"/>
  <c r="D37" i="11"/>
  <c r="D61" i="11"/>
  <c r="D29" i="11"/>
  <c r="D53" i="11"/>
  <c r="D21" i="11"/>
  <c r="D45" i="11"/>
  <c r="D122" i="11"/>
  <c r="D116" i="11"/>
  <c r="D78" i="11"/>
  <c r="D77" i="11"/>
  <c r="D72" i="11"/>
  <c r="D144" i="11"/>
  <c r="D113" i="11"/>
  <c r="D109" i="11"/>
  <c r="D106" i="11"/>
  <c r="D105" i="11"/>
  <c r="D95" i="11"/>
  <c r="D93" i="11"/>
  <c r="D92" i="11"/>
  <c r="D91" i="11"/>
  <c r="D103" i="11"/>
  <c r="D100" i="11"/>
  <c r="D125" i="11"/>
  <c r="D83" i="11"/>
  <c r="D82" i="11"/>
  <c r="D81" i="11"/>
  <c r="D79" i="11"/>
  <c r="D75" i="11"/>
  <c r="D73" i="11"/>
  <c r="D71" i="11"/>
  <c r="D68" i="11"/>
  <c r="D67" i="11"/>
  <c r="D66" i="11"/>
  <c r="D59" i="11"/>
  <c r="D58" i="11"/>
  <c r="D57" i="11"/>
  <c r="D55" i="11"/>
  <c r="D52" i="11"/>
  <c r="D49" i="11"/>
  <c r="D47" i="11"/>
  <c r="D44" i="11"/>
  <c r="D43" i="11"/>
  <c r="D42" i="11"/>
  <c r="D41" i="11"/>
  <c r="D39" i="11"/>
  <c r="D35" i="11"/>
  <c r="D33" i="11"/>
  <c r="D31" i="11"/>
  <c r="D27" i="11"/>
  <c r="D25" i="11"/>
  <c r="D23" i="11"/>
  <c r="D141" i="11"/>
  <c r="D130" i="11"/>
  <c r="D128" i="11"/>
  <c r="D163" i="11"/>
  <c r="D133" i="11"/>
  <c r="D138" i="11"/>
  <c r="D136" i="11"/>
  <c r="D155" i="11"/>
  <c r="D147" i="11"/>
  <c r="D139" i="11"/>
  <c r="D51" i="11"/>
  <c r="D176" i="11"/>
  <c r="D56" i="11"/>
  <c r="D192" i="11"/>
  <c r="D168" i="11"/>
  <c r="D142" i="11"/>
  <c r="D140" i="11"/>
  <c r="D198" i="11"/>
  <c r="D183" i="11"/>
  <c r="D178" i="11"/>
  <c r="D157" i="11"/>
  <c r="D148" i="11"/>
  <c r="D189" i="11"/>
  <c r="D180" i="11"/>
  <c r="D177" i="11"/>
  <c r="D158" i="11"/>
  <c r="D175" i="11"/>
  <c r="D160" i="11"/>
  <c r="D199" i="11"/>
  <c r="D181" i="11"/>
  <c r="D172" i="11"/>
  <c r="D171" i="11"/>
  <c r="D149" i="11"/>
  <c r="D182" i="11"/>
  <c r="D167" i="11"/>
  <c r="D196" i="11"/>
  <c r="D195" i="11"/>
  <c r="D194" i="11"/>
  <c r="D193" i="11"/>
  <c r="D173" i="11"/>
  <c r="D154" i="11"/>
  <c r="D153" i="11"/>
  <c r="D145" i="11"/>
  <c r="D143" i="11"/>
  <c r="D137" i="11"/>
  <c r="D135" i="11"/>
  <c r="D129" i="11"/>
  <c r="D127" i="11"/>
  <c r="D184" i="11"/>
  <c r="D174" i="11"/>
  <c r="D164" i="11"/>
  <c r="D162" i="11"/>
  <c r="D200" i="11"/>
  <c r="D197" i="11"/>
  <c r="D188" i="11"/>
  <c r="D187" i="11"/>
  <c r="D186" i="11"/>
  <c r="D185" i="11"/>
  <c r="D165" i="11"/>
  <c r="D156" i="11"/>
  <c r="D161" i="11"/>
  <c r="D46" i="11"/>
  <c r="D159" i="11"/>
  <c r="D151" i="11"/>
  <c r="D119" i="11"/>
  <c r="D111" i="11"/>
  <c r="D87" i="11"/>
  <c r="D26" i="11"/>
  <c r="D191" i="11"/>
  <c r="D63" i="11"/>
  <c r="D24" i="11"/>
  <c r="D201" i="11"/>
  <c r="D38" i="11"/>
  <c r="D121" i="11"/>
  <c r="D48" i="11"/>
  <c r="D70" i="11"/>
  <c r="D65" i="11"/>
  <c r="D28" i="11"/>
  <c r="D30" i="11"/>
  <c r="D179" i="11"/>
  <c r="D131" i="11"/>
  <c r="D123" i="11"/>
  <c r="D115" i="11"/>
  <c r="D107" i="11"/>
  <c r="D99" i="11"/>
  <c r="D60" i="11"/>
  <c r="D40" i="11"/>
  <c r="D170" i="11"/>
  <c r="D146" i="11"/>
  <c r="D114" i="11"/>
  <c r="D98" i="11"/>
  <c r="D90" i="11"/>
  <c r="D97" i="11"/>
  <c r="D89" i="11"/>
  <c r="D117" i="11"/>
  <c r="D101" i="11"/>
  <c r="D85" i="11"/>
  <c r="D50" i="11"/>
  <c r="D34" i="11"/>
  <c r="D36" i="11"/>
  <c r="D132" i="11"/>
  <c r="D124" i="11"/>
  <c r="D108" i="11"/>
  <c r="D84" i="11"/>
  <c r="D74" i="11"/>
  <c r="D166" i="11"/>
  <c r="D150" i="11"/>
  <c r="D134" i="11"/>
  <c r="D126" i="11"/>
  <c r="D118" i="11"/>
  <c r="D110" i="11"/>
  <c r="D76" i="11"/>
  <c r="D190" i="11"/>
  <c r="D152" i="11"/>
  <c r="D120" i="11"/>
  <c r="D112" i="11"/>
  <c r="D104" i="11"/>
  <c r="D88" i="11"/>
  <c r="D4" i="11"/>
  <c r="D8" i="11"/>
  <c r="D20" i="11"/>
  <c r="D18" i="11"/>
  <c r="R2" i="1" l="1"/>
  <c r="D169" i="11"/>
  <c r="D6" i="11"/>
  <c r="D7" i="11"/>
  <c r="D14" i="11"/>
  <c r="D9" i="11"/>
  <c r="D10" i="11"/>
  <c r="D5" i="11"/>
  <c r="D12" i="11"/>
  <c r="D16" i="11"/>
  <c r="D17" i="11"/>
  <c r="D11" i="11"/>
  <c r="D15" i="11"/>
  <c r="D19" i="11"/>
  <c r="D3" i="11"/>
  <c r="O2" i="1" l="1"/>
  <c r="N2" i="1"/>
  <c r="M2" i="1"/>
  <c r="S2" i="1" l="1"/>
  <c r="AV13" i="11" l="1"/>
  <c r="AD13" i="11"/>
  <c r="D13" i="11" l="1"/>
  <c r="D2" i="11"/>
  <c r="I2" i="1" l="1"/>
  <c r="T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<sst xmlns="http://schemas.openxmlformats.org/spreadsheetml/2006/main" count="2766" uniqueCount="859">
  <si>
    <t>Evaluador</t>
  </si>
  <si>
    <t>Fecha Evaluación</t>
  </si>
  <si>
    <t>Aplicación</t>
  </si>
  <si>
    <t>Fuente</t>
  </si>
  <si>
    <t>Origen</t>
  </si>
  <si>
    <t>ID_Entidad</t>
  </si>
  <si>
    <t>Entidad</t>
  </si>
  <si>
    <t>Total Registros</t>
  </si>
  <si>
    <t># Registros Inconsistencias Detectadas</t>
  </si>
  <si>
    <t># Registros Cumplen Unicidad</t>
  </si>
  <si>
    <t># Registros Cumplen Completitud</t>
  </si>
  <si>
    <t># Registros Cumplen Validez</t>
  </si>
  <si>
    <t># Registros 
No Cumplen Unicidad</t>
  </si>
  <si>
    <t># Registros 
No Cumplen Completitud</t>
  </si>
  <si>
    <t># Registros 
No Cumplen Validez</t>
  </si>
  <si>
    <t>% Unicidad 
Nivel Madurez</t>
  </si>
  <si>
    <t>% Completitud Nivel Madurez</t>
  </si>
  <si>
    <t>% Validez 
Nivel Madurez</t>
  </si>
  <si>
    <t>% Nivel Madurez Calidad Datos</t>
  </si>
  <si>
    <t>% Inconsistencias Detectadas</t>
  </si>
  <si>
    <t>Daniel Giraldo</t>
  </si>
  <si>
    <t>Campo</t>
  </si>
  <si>
    <t>Aplica Unicidad</t>
  </si>
  <si>
    <t>Aplica Completitud</t>
  </si>
  <si>
    <t>Aplica Validez</t>
  </si>
  <si>
    <t>Regla Unicidad</t>
  </si>
  <si>
    <t>Regla Completitud</t>
  </si>
  <si>
    <t>Regla Validez (Old)</t>
  </si>
  <si>
    <t>Regla Validez</t>
  </si>
  <si>
    <t>Observaciones</t>
  </si>
  <si>
    <t>Criticidad</t>
  </si>
  <si>
    <t>SI</t>
  </si>
  <si>
    <t>NO</t>
  </si>
  <si>
    <t>Debe ser único</t>
  </si>
  <si>
    <t>No debe haber nulos o vacios</t>
  </si>
  <si>
    <t>Nombre</t>
  </si>
  <si>
    <t>Descripción</t>
  </si>
  <si>
    <t>Códigos</t>
  </si>
  <si>
    <t>Descripción 2</t>
  </si>
  <si>
    <t>Cumple Unicidad (1=Si, 0=No)</t>
  </si>
  <si>
    <t>Cumple Completitud  (1=Si, 0=No)</t>
  </si>
  <si>
    <t>Cumple Validez  (1=Si, 0=No)</t>
  </si>
  <si>
    <t>Inconsistencia Detectada 
(1=Si, 0=No)</t>
  </si>
  <si>
    <t>RAGASA</t>
  </si>
  <si>
    <t>Inconsistencia Detectada
(1=Si, 0=No)</t>
  </si>
  <si>
    <t>Unicidad Códigos</t>
  </si>
  <si>
    <t>Unicidad Descripción</t>
  </si>
  <si>
    <t>Completitud Códigos</t>
  </si>
  <si>
    <t>Completitud Descripción</t>
  </si>
  <si>
    <t>Validez Códigos</t>
  </si>
  <si>
    <t>ARR</t>
  </si>
  <si>
    <t>Arrendamientos</t>
  </si>
  <si>
    <t>BAL</t>
  </si>
  <si>
    <t>Balance</t>
  </si>
  <si>
    <t>CMP</t>
  </si>
  <si>
    <t>Gastos s/Compras</t>
  </si>
  <si>
    <t>COM</t>
  </si>
  <si>
    <t>Comisiones</t>
  </si>
  <si>
    <t>COR</t>
  </si>
  <si>
    <t>Cuentas de orden</t>
  </si>
  <si>
    <t>CST</t>
  </si>
  <si>
    <t>Costos</t>
  </si>
  <si>
    <t>CTO</t>
  </si>
  <si>
    <t>Costo de ventas</t>
  </si>
  <si>
    <t>DEP</t>
  </si>
  <si>
    <t>Depreciación</t>
  </si>
  <si>
    <t>ENE</t>
  </si>
  <si>
    <t>Energeticos</t>
  </si>
  <si>
    <t>FLC</t>
  </si>
  <si>
    <t>Fletes de Compras</t>
  </si>
  <si>
    <t>FLV</t>
  </si>
  <si>
    <t>Fletes de Ventas</t>
  </si>
  <si>
    <t>GTC</t>
  </si>
  <si>
    <t>Gastos por Comunicaciones</t>
  </si>
  <si>
    <t>GTM</t>
  </si>
  <si>
    <t>Mantenimiento</t>
  </si>
  <si>
    <t>GTO</t>
  </si>
  <si>
    <t>Gastos operativos</t>
  </si>
  <si>
    <t>GTV</t>
  </si>
  <si>
    <t>Gastos s/Ventas</t>
  </si>
  <si>
    <t>HON</t>
  </si>
  <si>
    <t>Honorarios</t>
  </si>
  <si>
    <t>INC</t>
  </si>
  <si>
    <t>Incobrables</t>
  </si>
  <si>
    <t>ING</t>
  </si>
  <si>
    <t>Ingresos</t>
  </si>
  <si>
    <t>IUT</t>
  </si>
  <si>
    <t>Impuestos a la utilidad</t>
  </si>
  <si>
    <t>LAB</t>
  </si>
  <si>
    <t>Gastos de Laboratorio</t>
  </si>
  <si>
    <t>MAG</t>
  </si>
  <si>
    <t>Gastos de Maquila de Ganado</t>
  </si>
  <si>
    <t>MAQ</t>
  </si>
  <si>
    <t>Gastos de Maquila</t>
  </si>
  <si>
    <t>MGG</t>
  </si>
  <si>
    <t>Matls. y Gastos para Ganado</t>
  </si>
  <si>
    <t>OCD</t>
  </si>
  <si>
    <t>Otras Contrib. y Der.</t>
  </si>
  <si>
    <t>OFI</t>
  </si>
  <si>
    <t>Otros Gastos Oficina</t>
  </si>
  <si>
    <t>OIG</t>
  </si>
  <si>
    <t>Otros Ingresos y Gastos</t>
  </si>
  <si>
    <t>OPL</t>
  </si>
  <si>
    <t>Otros Gastos Planta</t>
  </si>
  <si>
    <t>PYP</t>
  </si>
  <si>
    <t>Publicidad y Propaganda</t>
  </si>
  <si>
    <t>REA</t>
  </si>
  <si>
    <t>Reactivos</t>
  </si>
  <si>
    <t>RIF</t>
  </si>
  <si>
    <t>Resultado Integral de financia</t>
  </si>
  <si>
    <t>SAD</t>
  </si>
  <si>
    <t>Servicios Administrativos</t>
  </si>
  <si>
    <t>SER</t>
  </si>
  <si>
    <t>Servicios Computacionales</t>
  </si>
  <si>
    <t>SYF</t>
  </si>
  <si>
    <t>Seguros y Fianzas</t>
  </si>
  <si>
    <t>SYS</t>
  </si>
  <si>
    <t>Sueldos,Salar y Prestaciones</t>
  </si>
  <si>
    <t>=SUMA()</t>
  </si>
  <si>
    <t>Id_Afiliado</t>
  </si>
  <si>
    <t>Tipo_Documento</t>
  </si>
  <si>
    <t>Numero_Documento</t>
  </si>
  <si>
    <t>Apellido1</t>
  </si>
  <si>
    <t>Apellido2</t>
  </si>
  <si>
    <t>Genero</t>
  </si>
  <si>
    <t>Fecha_Nacimiento</t>
  </si>
  <si>
    <t>Correo_Electronico</t>
  </si>
  <si>
    <t>Telefono</t>
  </si>
  <si>
    <t>Direccion</t>
  </si>
  <si>
    <t>Ciudad</t>
  </si>
  <si>
    <t>Departamento</t>
  </si>
  <si>
    <t>Fecha_Afiliacion</t>
  </si>
  <si>
    <t>Estado_Afiliacion</t>
  </si>
  <si>
    <t>Canal_Afiliacion</t>
  </si>
  <si>
    <t>Tarifa_Afiliacion</t>
  </si>
  <si>
    <t>Fecha_Actualizacion</t>
  </si>
  <si>
    <t>AF0001</t>
  </si>
  <si>
    <t>CC</t>
  </si>
  <si>
    <t>Paula</t>
  </si>
  <si>
    <t>Herrera</t>
  </si>
  <si>
    <t>Lopez</t>
  </si>
  <si>
    <t>F</t>
  </si>
  <si>
    <t>paula.herrera1@email.com</t>
  </si>
  <si>
    <t>Calle 1 #94-50</t>
  </si>
  <si>
    <t>Barranquilla</t>
  </si>
  <si>
    <t>Atlántico</t>
  </si>
  <si>
    <t>Activo</t>
  </si>
  <si>
    <t>Web</t>
  </si>
  <si>
    <t>AF0002</t>
  </si>
  <si>
    <t>TI</t>
  </si>
  <si>
    <t>Diana</t>
  </si>
  <si>
    <t>Martinez</t>
  </si>
  <si>
    <t>Rodriguez</t>
  </si>
  <si>
    <t>diana.martinez2@email.com</t>
  </si>
  <si>
    <t>Calle 1 #12-10</t>
  </si>
  <si>
    <t>Medellín</t>
  </si>
  <si>
    <t>Antioquia</t>
  </si>
  <si>
    <t>Retirado</t>
  </si>
  <si>
    <t>Presencial</t>
  </si>
  <si>
    <t>AF0003</t>
  </si>
  <si>
    <t>CE</t>
  </si>
  <si>
    <t>Ana</t>
  </si>
  <si>
    <t>Perez</t>
  </si>
  <si>
    <t>ana.perez3@email.com</t>
  </si>
  <si>
    <t>Calle 61 #85-33</t>
  </si>
  <si>
    <t>Envigado</t>
  </si>
  <si>
    <t>Call Center</t>
  </si>
  <si>
    <t>AF0004</t>
  </si>
  <si>
    <t>Valencia</t>
  </si>
  <si>
    <t>Ortiz</t>
  </si>
  <si>
    <t>paula.valencia4@email.com</t>
  </si>
  <si>
    <t>Calle 43 #16-40</t>
  </si>
  <si>
    <t>Manizales</t>
  </si>
  <si>
    <t>Caldas</t>
  </si>
  <si>
    <t>Suspendido</t>
  </si>
  <si>
    <t>AF0005</t>
  </si>
  <si>
    <t>Laura</t>
  </si>
  <si>
    <t>laura.ortiz5@email.com</t>
  </si>
  <si>
    <t>Calle 65 #98-44</t>
  </si>
  <si>
    <t>Pereira</t>
  </si>
  <si>
    <t>Risaralda</t>
  </si>
  <si>
    <t>AF0006</t>
  </si>
  <si>
    <t>Juan</t>
  </si>
  <si>
    <t>Munoz</t>
  </si>
  <si>
    <t>Moreno</t>
  </si>
  <si>
    <t>M</t>
  </si>
  <si>
    <t>juan.munoz6@email.com</t>
  </si>
  <si>
    <t>Calle 63 #19-8</t>
  </si>
  <si>
    <t>AF0007</t>
  </si>
  <si>
    <t>Felipe</t>
  </si>
  <si>
    <t>correo_invalido</t>
  </si>
  <si>
    <t>Calle 28 #4-83</t>
  </si>
  <si>
    <t>AF0008</t>
  </si>
  <si>
    <t>Javier</t>
  </si>
  <si>
    <t>Vargas</t>
  </si>
  <si>
    <t>Torres</t>
  </si>
  <si>
    <t>javier.vargas8@email.com</t>
  </si>
  <si>
    <t>Calle 93 #37-63</t>
  </si>
  <si>
    <t>AF0009</t>
  </si>
  <si>
    <t>Sergio</t>
  </si>
  <si>
    <t>Leon</t>
  </si>
  <si>
    <t>sergio.munoz9@email.com</t>
  </si>
  <si>
    <t>Calle 106 #87-87</t>
  </si>
  <si>
    <t>AF0010</t>
  </si>
  <si>
    <t>felipe.martinez10@email.com</t>
  </si>
  <si>
    <t>Calle 108 #16-19</t>
  </si>
  <si>
    <t>AF0011</t>
  </si>
  <si>
    <t>Juliana</t>
  </si>
  <si>
    <t>juliana.torres11@email.com</t>
  </si>
  <si>
    <t>Calle 104 #86-27</t>
  </si>
  <si>
    <t>AF0012</t>
  </si>
  <si>
    <t>Daniela</t>
  </si>
  <si>
    <t>Restrepo</t>
  </si>
  <si>
    <t>Calle 110 #77-39</t>
  </si>
  <si>
    <t>AF0013</t>
  </si>
  <si>
    <t>ana.vargas13@email.com</t>
  </si>
  <si>
    <t>Calle 16 #47-70</t>
  </si>
  <si>
    <t>Bucaramanga</t>
  </si>
  <si>
    <t>Santander</t>
  </si>
  <si>
    <t>AF0014</t>
  </si>
  <si>
    <t>Natalia</t>
  </si>
  <si>
    <t>Ramirez</t>
  </si>
  <si>
    <t>natalia.ramirez14@email.com</t>
  </si>
  <si>
    <t>Calle 62 #82-7</t>
  </si>
  <si>
    <t>Cali</t>
  </si>
  <si>
    <t>Valle del Cauca</t>
  </si>
  <si>
    <t>AF0015</t>
  </si>
  <si>
    <t>Salazar</t>
  </si>
  <si>
    <t>ana.salazar15@email.com</t>
  </si>
  <si>
    <t>Calle 8 #22-32</t>
  </si>
  <si>
    <t>AF0016</t>
  </si>
  <si>
    <t>Sanchez</t>
  </si>
  <si>
    <t>laura.munoz16@email.com</t>
  </si>
  <si>
    <t>Calle 64 #44-94</t>
  </si>
  <si>
    <t>AF0017</t>
  </si>
  <si>
    <t>Gomez</t>
  </si>
  <si>
    <t>javier.vargas17@email.com</t>
  </si>
  <si>
    <t>Calle 2 #95-78</t>
  </si>
  <si>
    <t>AF0018</t>
  </si>
  <si>
    <t>javier.moreno18@email.com</t>
  </si>
  <si>
    <t>Calle 25 #40-14</t>
  </si>
  <si>
    <t>AF0019</t>
  </si>
  <si>
    <t>Miguel</t>
  </si>
  <si>
    <t>miguel.torres19@email.com</t>
  </si>
  <si>
    <t>Calle 76 #53-46</t>
  </si>
  <si>
    <t>AF0020</t>
  </si>
  <si>
    <t>sergio.herrera20@email.com</t>
  </si>
  <si>
    <t>Calle 98 #44-65</t>
  </si>
  <si>
    <t>Bogotá</t>
  </si>
  <si>
    <t>Cundinamarca</t>
  </si>
  <si>
    <t>AF0021</t>
  </si>
  <si>
    <t>Andres</t>
  </si>
  <si>
    <t>andres.ortiz21@email.com</t>
  </si>
  <si>
    <t>Calle 28 #22-25</t>
  </si>
  <si>
    <t>AF0022</t>
  </si>
  <si>
    <t>Maria</t>
  </si>
  <si>
    <t>Castillo</t>
  </si>
  <si>
    <t>maria.castillo22@email.com</t>
  </si>
  <si>
    <t>Calle 12 #81-60</t>
  </si>
  <si>
    <t>AF0023</t>
  </si>
  <si>
    <t>Castro</t>
  </si>
  <si>
    <t>ana.castro23@email.com</t>
  </si>
  <si>
    <t>Calle 99 #3-5</t>
  </si>
  <si>
    <t>AF0024</t>
  </si>
  <si>
    <t>sergio.moreno24@email.com</t>
  </si>
  <si>
    <t>Calle 82 #79-18</t>
  </si>
  <si>
    <t>AF0025</t>
  </si>
  <si>
    <t>Diaz</t>
  </si>
  <si>
    <t>diana.diaz25@email.com</t>
  </si>
  <si>
    <t>Calle 43 #20-82</t>
  </si>
  <si>
    <t>AF0026</t>
  </si>
  <si>
    <t>juan.ortiz26@email.com</t>
  </si>
  <si>
    <t>Calle 5 #46-41</t>
  </si>
  <si>
    <t>AF0027</t>
  </si>
  <si>
    <t>Camila</t>
  </si>
  <si>
    <t>camila.munoz27@email.com</t>
  </si>
  <si>
    <t>Calle 119 #65-15</t>
  </si>
  <si>
    <t>AF0028</t>
  </si>
  <si>
    <t>javier.castillo28@email.com</t>
  </si>
  <si>
    <t>Calle 112 #56-72</t>
  </si>
  <si>
    <t>AF0029</t>
  </si>
  <si>
    <t>Nicolas</t>
  </si>
  <si>
    <t>nicolas.vargas29@email.com</t>
  </si>
  <si>
    <t>Calle 20 #97-33</t>
  </si>
  <si>
    <t>AF0030</t>
  </si>
  <si>
    <t>diana.perez30@email.com</t>
  </si>
  <si>
    <t>Calle 79 #6-45</t>
  </si>
  <si>
    <t>AF0031</t>
  </si>
  <si>
    <t>laura.ortiz31@email.com</t>
  </si>
  <si>
    <t>Calle 29 #46-83</t>
  </si>
  <si>
    <t>AF0032</t>
  </si>
  <si>
    <t>diana.ortiz32@email.com</t>
  </si>
  <si>
    <t>Calle 86 #20-64</t>
  </si>
  <si>
    <t>AF0033</t>
  </si>
  <si>
    <t>Carlos</t>
  </si>
  <si>
    <t>Calle 8 #85-19</t>
  </si>
  <si>
    <t>AF0034</t>
  </si>
  <si>
    <t>paula.diaz34@email.com</t>
  </si>
  <si>
    <t>Calle 78 #56-82</t>
  </si>
  <si>
    <t>AF0035</t>
  </si>
  <si>
    <t>juliana.martinez35@email.com</t>
  </si>
  <si>
    <t>Calle 45 #52-41</t>
  </si>
  <si>
    <t>AF0036</t>
  </si>
  <si>
    <t>paula.torres36@email.com</t>
  </si>
  <si>
    <t>Calle 102 #71-54</t>
  </si>
  <si>
    <t>AF0037</t>
  </si>
  <si>
    <t>javier.moreno37@email.com</t>
  </si>
  <si>
    <t>Calle 41 #19-11</t>
  </si>
  <si>
    <t>AF0038</t>
  </si>
  <si>
    <t>diana.leon38@email.com</t>
  </si>
  <si>
    <t>Calle 81 #29-57</t>
  </si>
  <si>
    <t>AF0039</t>
  </si>
  <si>
    <t>ana.munoz39@email.com</t>
  </si>
  <si>
    <t>Calle 60 #22-8</t>
  </si>
  <si>
    <t>AF0040</t>
  </si>
  <si>
    <t>sergio.rodriguez40@email.com</t>
  </si>
  <si>
    <t>Calle 63 #98-59</t>
  </si>
  <si>
    <t>AF0041</t>
  </si>
  <si>
    <t>laura.leon41@email.com</t>
  </si>
  <si>
    <t>Calle 24 #43-49</t>
  </si>
  <si>
    <t>AF0042</t>
  </si>
  <si>
    <t>Ricardo</t>
  </si>
  <si>
    <t>ricardo.moreno42@email.com</t>
  </si>
  <si>
    <t>Calle 56 #88-84</t>
  </si>
  <si>
    <t>AF0043</t>
  </si>
  <si>
    <t>miguel.ortiz43@email.com</t>
  </si>
  <si>
    <t>Calle 99 #23-17</t>
  </si>
  <si>
    <t>AF0044</t>
  </si>
  <si>
    <t>felipe.castro44@email.com</t>
  </si>
  <si>
    <t>Calle 94 #14-14</t>
  </si>
  <si>
    <t>AF0045</t>
  </si>
  <si>
    <t>juan.martinez45@email.com</t>
  </si>
  <si>
    <t>Calle 45 #4-22</t>
  </si>
  <si>
    <t>AF0046</t>
  </si>
  <si>
    <t>javier.munoz46@email.com</t>
  </si>
  <si>
    <t>Calle 74 #87-87</t>
  </si>
  <si>
    <t>AF0047</t>
  </si>
  <si>
    <t>Pedro</t>
  </si>
  <si>
    <t>pedro.salazar47@email.com</t>
  </si>
  <si>
    <t>Calle 18 #23-15</t>
  </si>
  <si>
    <t>AF0048</t>
  </si>
  <si>
    <t>nicolas.vargas48@email.com</t>
  </si>
  <si>
    <t>Calle 108 #57-12</t>
  </si>
  <si>
    <t>AF0049</t>
  </si>
  <si>
    <t>nicolas.munoz49@email.com</t>
  </si>
  <si>
    <t>Calle 70 #88-8</t>
  </si>
  <si>
    <t>AF0050</t>
  </si>
  <si>
    <t>juan.vargas50@email.com</t>
  </si>
  <si>
    <t>Calle 71 #39-94</t>
  </si>
  <si>
    <t>AF0051</t>
  </si>
  <si>
    <t>laura.moreno51@email.com</t>
  </si>
  <si>
    <t>Calle 62 #11-53</t>
  </si>
  <si>
    <t>AF0052</t>
  </si>
  <si>
    <t>carlos.restrepo52@email.com</t>
  </si>
  <si>
    <t>Calle 4 #67-49</t>
  </si>
  <si>
    <t>AF0053</t>
  </si>
  <si>
    <t>natalia.munoz53@email.com</t>
  </si>
  <si>
    <t>Calle 107 #68-41</t>
  </si>
  <si>
    <t>AF0054</t>
  </si>
  <si>
    <t>ana.restrepo54@email.com</t>
  </si>
  <si>
    <t>Calle 110 #95-75</t>
  </si>
  <si>
    <t>AF0055</t>
  </si>
  <si>
    <t>juan.ortiz55@email.com</t>
  </si>
  <si>
    <t>Calle 71 #7-17</t>
  </si>
  <si>
    <t>AF0056</t>
  </si>
  <si>
    <t>juliana.lopez56@email.com</t>
  </si>
  <si>
    <t>Calle 20 #12-12</t>
  </si>
  <si>
    <t>AF0057</t>
  </si>
  <si>
    <t>carlos.torres57@email.com</t>
  </si>
  <si>
    <t>Calle 78 #83-95</t>
  </si>
  <si>
    <t>AF0058</t>
  </si>
  <si>
    <t>laura.castro58@email.com</t>
  </si>
  <si>
    <t>Calle 9 #59-44</t>
  </si>
  <si>
    <t>AF0059</t>
  </si>
  <si>
    <t>natalia.vargas59@email.com</t>
  </si>
  <si>
    <t>Calle 2 #53-84</t>
  </si>
  <si>
    <t>AF0060</t>
  </si>
  <si>
    <t>paula.salazar60@email.com</t>
  </si>
  <si>
    <t>Calle 69 #42-7</t>
  </si>
  <si>
    <t>AF0061</t>
  </si>
  <si>
    <t>juan.leon61@email.com</t>
  </si>
  <si>
    <t>Calle 71 #93-1</t>
  </si>
  <si>
    <t>AF0062</t>
  </si>
  <si>
    <t>sergio.leon62@email.com</t>
  </si>
  <si>
    <t>Calle 71 #98-88</t>
  </si>
  <si>
    <t>AF0063</t>
  </si>
  <si>
    <t>Sandra</t>
  </si>
  <si>
    <t>sandra.martinez63@email.com</t>
  </si>
  <si>
    <t>Calle 4 #21-2</t>
  </si>
  <si>
    <t>AF0064</t>
  </si>
  <si>
    <t>felipe.perez64@email.com</t>
  </si>
  <si>
    <t>Calle 99 #57-17</t>
  </si>
  <si>
    <t>AF0065</t>
  </si>
  <si>
    <t>nicolas.sanchez65@email.com</t>
  </si>
  <si>
    <t>Calle 92 #2-72</t>
  </si>
  <si>
    <t>AF0066</t>
  </si>
  <si>
    <t>laura.torres66@email.com</t>
  </si>
  <si>
    <t>Calle 48 #51-25</t>
  </si>
  <si>
    <t>AF0067</t>
  </si>
  <si>
    <t>paula.moreno67@email.com</t>
  </si>
  <si>
    <t>Calle 55 #88-23</t>
  </si>
  <si>
    <t>AF0068</t>
  </si>
  <si>
    <t>ricardo.diaz68@email.com</t>
  </si>
  <si>
    <t>Calle 83 #9-28</t>
  </si>
  <si>
    <t>AF0069</t>
  </si>
  <si>
    <t>miguel.martinez69@email.com</t>
  </si>
  <si>
    <t>Calle 43 #2-82</t>
  </si>
  <si>
    <t>AF0070</t>
  </si>
  <si>
    <t>natalia.herrera70@email.com</t>
  </si>
  <si>
    <t>Calle 111 #2-55</t>
  </si>
  <si>
    <t>AF0071</t>
  </si>
  <si>
    <t>carlos.lopez71@email.com</t>
  </si>
  <si>
    <t>Calle 26 #41-93</t>
  </si>
  <si>
    <t>AF0072</t>
  </si>
  <si>
    <t>juliana.ramirez72@email.com</t>
  </si>
  <si>
    <t>Calle 53 #81-29</t>
  </si>
  <si>
    <t>AF0073</t>
  </si>
  <si>
    <t>ricardo.torres73@email.com</t>
  </si>
  <si>
    <t>Calle 31 #36-49</t>
  </si>
  <si>
    <t>AF0074</t>
  </si>
  <si>
    <t>camila.ramirez74@email.com</t>
  </si>
  <si>
    <t>Calle 106 #20-64</t>
  </si>
  <si>
    <t>AF0075</t>
  </si>
  <si>
    <t>juliana.sanchez75@email.com</t>
  </si>
  <si>
    <t>Calle 106 #80-75</t>
  </si>
  <si>
    <t>AF0076</t>
  </si>
  <si>
    <t>maria.moreno76@email.com</t>
  </si>
  <si>
    <t>Calle 12 #36-97</t>
  </si>
  <si>
    <t>AF0077</t>
  </si>
  <si>
    <t>camila.munoz77@email.com</t>
  </si>
  <si>
    <t>Calle 67 #9-12</t>
  </si>
  <si>
    <t>AF0078</t>
  </si>
  <si>
    <t>pedro.valencia78@email.com</t>
  </si>
  <si>
    <t>Calle 71 #50-94</t>
  </si>
  <si>
    <t>AF0079</t>
  </si>
  <si>
    <t>juliana.herrera79@email.com</t>
  </si>
  <si>
    <t>Calle 13 #23-61</t>
  </si>
  <si>
    <t>AF0080</t>
  </si>
  <si>
    <t>javier.herrera80@email.com</t>
  </si>
  <si>
    <t>Calle 20 #19-22</t>
  </si>
  <si>
    <t>AF0081</t>
  </si>
  <si>
    <t>juan.restrepo81@email.com</t>
  </si>
  <si>
    <t>Calle 61 #79-57</t>
  </si>
  <si>
    <t>AF0082</t>
  </si>
  <si>
    <t>carlos.valencia82@email.com</t>
  </si>
  <si>
    <t>Calle 5 #99-70</t>
  </si>
  <si>
    <t>AF0083</t>
  </si>
  <si>
    <t>javier.lopez83@email.com</t>
  </si>
  <si>
    <t>Calle 108 #70-40</t>
  </si>
  <si>
    <t>AF0084</t>
  </si>
  <si>
    <t>carlos.leon84@email.com</t>
  </si>
  <si>
    <t>Calle 78 #96-17</t>
  </si>
  <si>
    <t>AF0085</t>
  </si>
  <si>
    <t>nicolas.leon85@email.com</t>
  </si>
  <si>
    <t>Calle 64 #80-72</t>
  </si>
  <si>
    <t>AF0086</t>
  </si>
  <si>
    <t>diana.munoz86@email.com</t>
  </si>
  <si>
    <t>Calle 7 #66-51</t>
  </si>
  <si>
    <t>AF0087</t>
  </si>
  <si>
    <t>ana.gomez87@email.com</t>
  </si>
  <si>
    <t>Calle 65 #66-63</t>
  </si>
  <si>
    <t>AF0088</t>
  </si>
  <si>
    <t>sandra.castro88@email.com</t>
  </si>
  <si>
    <t>Calle 49 #82-31</t>
  </si>
  <si>
    <t>AF0089</t>
  </si>
  <si>
    <t>andres.leon89@email.com</t>
  </si>
  <si>
    <t>Calle 14 #49-25</t>
  </si>
  <si>
    <t>AF0090</t>
  </si>
  <si>
    <t>juliana.herrera90@email.com</t>
  </si>
  <si>
    <t>Calle 92 #15-26</t>
  </si>
  <si>
    <t>AF0091</t>
  </si>
  <si>
    <t>camila.castro91@email.com</t>
  </si>
  <si>
    <t>Calle 72 #23-73</t>
  </si>
  <si>
    <t>AF0092</t>
  </si>
  <si>
    <t>natalia.gomez92@email.com</t>
  </si>
  <si>
    <t>Calle 61 #73-11</t>
  </si>
  <si>
    <t>AF0093</t>
  </si>
  <si>
    <t>paula.lopez93@email.com</t>
  </si>
  <si>
    <t>Calle 68 #22-52</t>
  </si>
  <si>
    <t>AF0094</t>
  </si>
  <si>
    <t>paula.rodriguez94@email.com</t>
  </si>
  <si>
    <t>Calle 111 #10-99</t>
  </si>
  <si>
    <t>AF0095</t>
  </si>
  <si>
    <t>juan.gomez95@email.com</t>
  </si>
  <si>
    <t>Calle 103 #76-50</t>
  </si>
  <si>
    <t>AF0096</t>
  </si>
  <si>
    <t>nicolas.castro96@email.com</t>
  </si>
  <si>
    <t>Calle 77 #79-10</t>
  </si>
  <si>
    <t>AF0097</t>
  </si>
  <si>
    <t>andres.leon97@email.com</t>
  </si>
  <si>
    <t>Calle 120 #32-16</t>
  </si>
  <si>
    <t>AF0098</t>
  </si>
  <si>
    <t>camila.torres98@email.com</t>
  </si>
  <si>
    <t>Calle 68 #79-21</t>
  </si>
  <si>
    <t>AF0099</t>
  </si>
  <si>
    <t>paula.ramirez99@email.com</t>
  </si>
  <si>
    <t>Calle 80 #73-15</t>
  </si>
  <si>
    <t>AF0100</t>
  </si>
  <si>
    <t>nicolas.herrera100@email.com</t>
  </si>
  <si>
    <t>Calle 64 #82-57</t>
  </si>
  <si>
    <t>AF0101</t>
  </si>
  <si>
    <t>daniela.lopez101@email.com</t>
  </si>
  <si>
    <t>Calle 109 #8-89</t>
  </si>
  <si>
    <t>AF0102</t>
  </si>
  <si>
    <t>javier.restrepo102@email.com</t>
  </si>
  <si>
    <t>Calle 23 #54-75</t>
  </si>
  <si>
    <t>AF0103</t>
  </si>
  <si>
    <t>ricardo.salazar103@email.com</t>
  </si>
  <si>
    <t>Calle 8 #46-45</t>
  </si>
  <si>
    <t>AF0104</t>
  </si>
  <si>
    <t>nicolas.castillo104@email.com</t>
  </si>
  <si>
    <t>Calle 3 #13-87</t>
  </si>
  <si>
    <t>AF0105</t>
  </si>
  <si>
    <t>sandra.castillo105@email.com</t>
  </si>
  <si>
    <t>Calle 83 #47-66</t>
  </si>
  <si>
    <t>AF0106</t>
  </si>
  <si>
    <t>paula.gomez106@email.com</t>
  </si>
  <si>
    <t>Calle 77 #96-48</t>
  </si>
  <si>
    <t>AF0107</t>
  </si>
  <si>
    <t>miguel.salazar107@email.com</t>
  </si>
  <si>
    <t>Calle 23 #88-67</t>
  </si>
  <si>
    <t>AF0108</t>
  </si>
  <si>
    <t>diana.moreno108@email.com</t>
  </si>
  <si>
    <t>Calle 105 #49-11</t>
  </si>
  <si>
    <t>AF0109</t>
  </si>
  <si>
    <t>sandra.ortiz109@email.com</t>
  </si>
  <si>
    <t>Calle 113 #9-95</t>
  </si>
  <si>
    <t>AF0110</t>
  </si>
  <si>
    <t>ana.lopez110@email.com</t>
  </si>
  <si>
    <t>Calle 80 #32-54</t>
  </si>
  <si>
    <t>AF0111</t>
  </si>
  <si>
    <t>sergio.castro111@email.com</t>
  </si>
  <si>
    <t>Calle 51 #2-22</t>
  </si>
  <si>
    <t>AF0112</t>
  </si>
  <si>
    <t>camila.castro112@email.com</t>
  </si>
  <si>
    <t>Calle 59 #66-45</t>
  </si>
  <si>
    <t>AF0113</t>
  </si>
  <si>
    <t>juan.perez113@email.com</t>
  </si>
  <si>
    <t>Calle 2 #54-98</t>
  </si>
  <si>
    <t>AF0114</t>
  </si>
  <si>
    <t>laura.leon114@email.com</t>
  </si>
  <si>
    <t>Calle 58 #79-41</t>
  </si>
  <si>
    <t>AF0115</t>
  </si>
  <si>
    <t>carlos.moreno115@email.com</t>
  </si>
  <si>
    <t>Calle 1 #23-74</t>
  </si>
  <si>
    <t>AF0116</t>
  </si>
  <si>
    <t>ricardo.valencia116@email.com</t>
  </si>
  <si>
    <t>Calle 95 #69-42</t>
  </si>
  <si>
    <t>AF0117</t>
  </si>
  <si>
    <t>andres.sanchez117@email.com</t>
  </si>
  <si>
    <t>Calle 39 #99-55</t>
  </si>
  <si>
    <t>AF0118</t>
  </si>
  <si>
    <t>daniela.valencia118@email.com</t>
  </si>
  <si>
    <t>Calle 25 #96-70</t>
  </si>
  <si>
    <t>AF0119</t>
  </si>
  <si>
    <t>daniela.valencia119@email.com</t>
  </si>
  <si>
    <t>Calle 99 #73-6</t>
  </si>
  <si>
    <t>AF0120</t>
  </si>
  <si>
    <t>sergio.ortiz120@email.com</t>
  </si>
  <si>
    <t>Calle 37 #18-73</t>
  </si>
  <si>
    <t>AF0121</t>
  </si>
  <si>
    <t>pedro.moreno121@email.com</t>
  </si>
  <si>
    <t>Calle 23 #47-84</t>
  </si>
  <si>
    <t>AF0122</t>
  </si>
  <si>
    <t>carlos.rodriguez122@email.com</t>
  </si>
  <si>
    <t>Calle 76 #19-34</t>
  </si>
  <si>
    <t>AF0123</t>
  </si>
  <si>
    <t>juliana.rodriguez123@email.com</t>
  </si>
  <si>
    <t>Calle 78 #51-10</t>
  </si>
  <si>
    <t>AF0124</t>
  </si>
  <si>
    <t>paula.valencia124@email.com</t>
  </si>
  <si>
    <t>Calle 36 #20-19</t>
  </si>
  <si>
    <t>AF0125</t>
  </si>
  <si>
    <t>laura.rodriguez125@email.com</t>
  </si>
  <si>
    <t>Calle 113 #23-85</t>
  </si>
  <si>
    <t>AF0126</t>
  </si>
  <si>
    <t>camila.perez126@email.com</t>
  </si>
  <si>
    <t>Calle 81 #63-28</t>
  </si>
  <si>
    <t>AF0127</t>
  </si>
  <si>
    <t>javier.perez127@email.com</t>
  </si>
  <si>
    <t>Calle 53 #99-94</t>
  </si>
  <si>
    <t>AF0128</t>
  </si>
  <si>
    <t>nicolas.torres128@email.com</t>
  </si>
  <si>
    <t>Calle 26 #22-81</t>
  </si>
  <si>
    <t>AF0129</t>
  </si>
  <si>
    <t>natalia.ortiz129@email.com</t>
  </si>
  <si>
    <t>Calle 36 #36-26</t>
  </si>
  <si>
    <t>AF0130</t>
  </si>
  <si>
    <t>daniela.herrera130@email.com</t>
  </si>
  <si>
    <t>Calle 13 #88-80</t>
  </si>
  <si>
    <t>AF0131</t>
  </si>
  <si>
    <t>ana.munoz131@email.com</t>
  </si>
  <si>
    <t>Calle 18 #96-33</t>
  </si>
  <si>
    <t>AF0132</t>
  </si>
  <si>
    <t>paula.perez132@email.com</t>
  </si>
  <si>
    <t>Calle 25 #86-53</t>
  </si>
  <si>
    <t>AF0133</t>
  </si>
  <si>
    <t>camila.herrera133@email.com</t>
  </si>
  <si>
    <t>Calle 96 #15-83</t>
  </si>
  <si>
    <t>AF0134</t>
  </si>
  <si>
    <t>sandra.munoz134@email.com</t>
  </si>
  <si>
    <t>Calle 21 #67-17</t>
  </si>
  <si>
    <t>AF0135</t>
  </si>
  <si>
    <t>maria.valencia135@email.com</t>
  </si>
  <si>
    <t>Calle 95 #56-20</t>
  </si>
  <si>
    <t>AF0136</t>
  </si>
  <si>
    <t>ana.castillo136@email.com</t>
  </si>
  <si>
    <t>Calle 86 #80-9</t>
  </si>
  <si>
    <t>AF0137</t>
  </si>
  <si>
    <t>sergio.castillo137@email.com</t>
  </si>
  <si>
    <t>Calle 14 #88-72</t>
  </si>
  <si>
    <t>AF0138</t>
  </si>
  <si>
    <t>nicolas.martinez138@email.com</t>
  </si>
  <si>
    <t>Calle 59 #87-95</t>
  </si>
  <si>
    <t>AF0139</t>
  </si>
  <si>
    <t>sandra.castillo139@email.com</t>
  </si>
  <si>
    <t>Calle 117 #69-89</t>
  </si>
  <si>
    <t>AF0140</t>
  </si>
  <si>
    <t>ana.munoz140@email.com</t>
  </si>
  <si>
    <t>Calle 87 #50-55</t>
  </si>
  <si>
    <t>AF0141</t>
  </si>
  <si>
    <t>carlos.ramirez141@email.com</t>
  </si>
  <si>
    <t>Calle 22 #43-18</t>
  </si>
  <si>
    <t>AF0142</t>
  </si>
  <si>
    <t>daniela.munoz142@email.com</t>
  </si>
  <si>
    <t>Calle 73 #7-65</t>
  </si>
  <si>
    <t>AF0143</t>
  </si>
  <si>
    <t>maria.castro143@email.com</t>
  </si>
  <si>
    <t>Calle 116 #86-5</t>
  </si>
  <si>
    <t>AF0144</t>
  </si>
  <si>
    <t>laura.torres144@email.com</t>
  </si>
  <si>
    <t>Calle 55 #81-98</t>
  </si>
  <si>
    <t>AF0145</t>
  </si>
  <si>
    <t>miguel.lopez145@email.com</t>
  </si>
  <si>
    <t>Calle 57 #93-69</t>
  </si>
  <si>
    <t>AF0146</t>
  </si>
  <si>
    <t>javier.moreno146@email.com</t>
  </si>
  <si>
    <t>Calle 82 #82-31</t>
  </si>
  <si>
    <t>AF0147</t>
  </si>
  <si>
    <t>juliana.diaz147@email.com</t>
  </si>
  <si>
    <t>Calle 113 #54-44</t>
  </si>
  <si>
    <t>AF0148</t>
  </si>
  <si>
    <t>javier.perez148@email.com</t>
  </si>
  <si>
    <t>Calle 95 #3-89</t>
  </si>
  <si>
    <t>AF0149</t>
  </si>
  <si>
    <t>daniela.diaz149@email.com</t>
  </si>
  <si>
    <t>Calle 81 #48-39</t>
  </si>
  <si>
    <t>AF0150</t>
  </si>
  <si>
    <t>diana.diaz150@email.com</t>
  </si>
  <si>
    <t>Calle 36 #48-8</t>
  </si>
  <si>
    <t>AF0151</t>
  </si>
  <si>
    <t>sergio.martinez151@email.com</t>
  </si>
  <si>
    <t>Calle 29 #27-96</t>
  </si>
  <si>
    <t>AF0152</t>
  </si>
  <si>
    <t>miguel.torres152@email.com</t>
  </si>
  <si>
    <t>Calle 29 #56-27</t>
  </si>
  <si>
    <t>AF0153</t>
  </si>
  <si>
    <t>carlos.herrera153@email.com</t>
  </si>
  <si>
    <t>Calle 74 #54-54</t>
  </si>
  <si>
    <t>AF0154</t>
  </si>
  <si>
    <t>diana.moreno154@email.com</t>
  </si>
  <si>
    <t>Calle 36 #66-79</t>
  </si>
  <si>
    <t>AF0155</t>
  </si>
  <si>
    <t>sergio.munoz155@email.com</t>
  </si>
  <si>
    <t>Calle 76 #21-34</t>
  </si>
  <si>
    <t>AF0156</t>
  </si>
  <si>
    <t>andres.salazar156@email.com</t>
  </si>
  <si>
    <t>Calle 99 #16-2</t>
  </si>
  <si>
    <t>AF0157</t>
  </si>
  <si>
    <t>juliana.salazar157@email.com</t>
  </si>
  <si>
    <t>Calle 41 #85-65</t>
  </si>
  <si>
    <t>AF0158</t>
  </si>
  <si>
    <t>daniela.munoz158@email.com</t>
  </si>
  <si>
    <t>Calle 90 #27-62</t>
  </si>
  <si>
    <t>AF0159</t>
  </si>
  <si>
    <t>javier.vargas159@email.com</t>
  </si>
  <si>
    <t>Calle 104 #92-90</t>
  </si>
  <si>
    <t>AF0160</t>
  </si>
  <si>
    <t>sandra.lopez160@email.com</t>
  </si>
  <si>
    <t>Calle 117 #45-11</t>
  </si>
  <si>
    <t>AF0161</t>
  </si>
  <si>
    <t>ana.martinez161@email.com</t>
  </si>
  <si>
    <t>Calle 41 #65-11</t>
  </si>
  <si>
    <t>AF0162</t>
  </si>
  <si>
    <t>paula.diaz162@email.com</t>
  </si>
  <si>
    <t>Calle 90 #63-34</t>
  </si>
  <si>
    <t>AF0163</t>
  </si>
  <si>
    <t>daniela.ortiz163@email.com</t>
  </si>
  <si>
    <t>Calle 25 #22-65</t>
  </si>
  <si>
    <t>AF0164</t>
  </si>
  <si>
    <t>javier.valencia164@email.com</t>
  </si>
  <si>
    <t>Calle 2 #69-73</t>
  </si>
  <si>
    <t>AF0165</t>
  </si>
  <si>
    <t>sandra.herrera165@email.com</t>
  </si>
  <si>
    <t>Calle 25 #20-25</t>
  </si>
  <si>
    <t>AF0166</t>
  </si>
  <si>
    <t>carlos.castillo166@email.com</t>
  </si>
  <si>
    <t>Calle 80 #28-11</t>
  </si>
  <si>
    <t>AF0167</t>
  </si>
  <si>
    <t>sergio.castro167@email.com</t>
  </si>
  <si>
    <t>Calle 107 #83-16</t>
  </si>
  <si>
    <t>AF0168</t>
  </si>
  <si>
    <t>juan.restrepo168@email.com</t>
  </si>
  <si>
    <t>Calle 3 #52-47</t>
  </si>
  <si>
    <t>AF0169</t>
  </si>
  <si>
    <t>nicolas.valencia169@email.com</t>
  </si>
  <si>
    <t>Calle 101 #98-85</t>
  </si>
  <si>
    <t>AF0170</t>
  </si>
  <si>
    <t>ana.perez170@email.com</t>
  </si>
  <si>
    <t>Calle 86 #42-47</t>
  </si>
  <si>
    <t>AF0171</t>
  </si>
  <si>
    <t>juan.leon171@email.com</t>
  </si>
  <si>
    <t>Calle 48 #7-47</t>
  </si>
  <si>
    <t>AF0172</t>
  </si>
  <si>
    <t>paula.torres172@email.com</t>
  </si>
  <si>
    <t>Calle 106 #19-19</t>
  </si>
  <si>
    <t>AF0173</t>
  </si>
  <si>
    <t>carlos.perez173@email.com</t>
  </si>
  <si>
    <t>Calle 21 #6-95</t>
  </si>
  <si>
    <t>AF0174</t>
  </si>
  <si>
    <t>daniela.martinez174@email.com</t>
  </si>
  <si>
    <t>Calle 14 #41-35</t>
  </si>
  <si>
    <t>AF0175</t>
  </si>
  <si>
    <t>ricardo.rodriguez175@email.com</t>
  </si>
  <si>
    <t>Calle 75 #54-97</t>
  </si>
  <si>
    <t>AF0176</t>
  </si>
  <si>
    <t>natalia.perez176@email.com</t>
  </si>
  <si>
    <t>Calle 1 #70-2</t>
  </si>
  <si>
    <t>AF0177</t>
  </si>
  <si>
    <t>ricardo.diaz177@email.com</t>
  </si>
  <si>
    <t>Calle 15 #95-66</t>
  </si>
  <si>
    <t>AF0178</t>
  </si>
  <si>
    <t>felipe.torres178@email.com</t>
  </si>
  <si>
    <t>Calle 59 #62-89</t>
  </si>
  <si>
    <t>AF0179</t>
  </si>
  <si>
    <t>juan.gomez179@email.com</t>
  </si>
  <si>
    <t>Calle 27 #65-84</t>
  </si>
  <si>
    <t>AF0180</t>
  </si>
  <si>
    <t>laura.perez180@email.com</t>
  </si>
  <si>
    <t>Calle 29 #38-71</t>
  </si>
  <si>
    <t>AF0181</t>
  </si>
  <si>
    <t>ana.ortiz181@email.com</t>
  </si>
  <si>
    <t>Calle 7 #13-57</t>
  </si>
  <si>
    <t>AF0182</t>
  </si>
  <si>
    <t>sergio.munoz182@email.com</t>
  </si>
  <si>
    <t>Calle 111 #95-55</t>
  </si>
  <si>
    <t>AF0183</t>
  </si>
  <si>
    <t>camila.lopez183@email.com</t>
  </si>
  <si>
    <t>Calle 97 #90-53</t>
  </si>
  <si>
    <t>AF0184</t>
  </si>
  <si>
    <t>diana.herrera184@email.com</t>
  </si>
  <si>
    <t>Calle 13 #70-81</t>
  </si>
  <si>
    <t>AF0185</t>
  </si>
  <si>
    <t>nicolas.leon185@email.com</t>
  </si>
  <si>
    <t>Calle 74 #34-87</t>
  </si>
  <si>
    <t>AF0186</t>
  </si>
  <si>
    <t>carlos.castro186@email.com</t>
  </si>
  <si>
    <t>Calle 61 #44-97</t>
  </si>
  <si>
    <t>AF0187</t>
  </si>
  <si>
    <t>andres.moreno187@email.com</t>
  </si>
  <si>
    <t>Calle 25 #29-76</t>
  </si>
  <si>
    <t>AF0188</t>
  </si>
  <si>
    <t>sandra.herrera188@email.com</t>
  </si>
  <si>
    <t>Calle 94 #44-64</t>
  </si>
  <si>
    <t>AF0189</t>
  </si>
  <si>
    <t>carlos.lopez189@email.com</t>
  </si>
  <si>
    <t>Calle 118 #82-59</t>
  </si>
  <si>
    <t>AF0190</t>
  </si>
  <si>
    <t>ana.diaz190@email.com</t>
  </si>
  <si>
    <t>Calle 55 #61-25</t>
  </si>
  <si>
    <t>AF0191</t>
  </si>
  <si>
    <t>juan.diaz191@email.com</t>
  </si>
  <si>
    <t>Calle 37 #69-7</t>
  </si>
  <si>
    <t>AF0192</t>
  </si>
  <si>
    <t>sergio.moreno192@email.com</t>
  </si>
  <si>
    <t>Calle 12 #74-85</t>
  </si>
  <si>
    <t>AF0193</t>
  </si>
  <si>
    <t>sandra.lopez193@email.com</t>
  </si>
  <si>
    <t>Calle 72 #80-82</t>
  </si>
  <si>
    <t>AF0194</t>
  </si>
  <si>
    <t>sergio.gomez194@email.com</t>
  </si>
  <si>
    <t>Calle 56 #67-68</t>
  </si>
  <si>
    <t>AF0195</t>
  </si>
  <si>
    <t>ricardo.ortiz195@email.com</t>
  </si>
  <si>
    <t>Calle 65 #83-47</t>
  </si>
  <si>
    <t>AF0196</t>
  </si>
  <si>
    <t>felipe.valencia196@email.com</t>
  </si>
  <si>
    <t>Calle 78 #43-4</t>
  </si>
  <si>
    <t>AF0197</t>
  </si>
  <si>
    <t>juliana.leon197@email.com</t>
  </si>
  <si>
    <t>Calle 62 #99-7</t>
  </si>
  <si>
    <t>AF0198</t>
  </si>
  <si>
    <t>andres.salazar198@email.com</t>
  </si>
  <si>
    <t>Calle 60 #29-7</t>
  </si>
  <si>
    <t>AF0199</t>
  </si>
  <si>
    <t>diana.moreno199@email.com</t>
  </si>
  <si>
    <t>Calle 27 #40-96</t>
  </si>
  <si>
    <t>AF0200</t>
  </si>
  <si>
    <t>natalia.martinez200@email.com</t>
  </si>
  <si>
    <t>Calle 70 #21-18</t>
  </si>
  <si>
    <t>CRM</t>
  </si>
  <si>
    <t>CRM Afiliados</t>
  </si>
  <si>
    <t>192.6.1.152</t>
  </si>
  <si>
    <t>OGD-TAB-0001</t>
  </si>
  <si>
    <t>Afiliados</t>
  </si>
  <si>
    <t>Debe seguir el patrón AF####.</t>
  </si>
  <si>
    <t>Solo se permiten valores CC, CE, TI o PAS.</t>
  </si>
  <si>
    <t>Debe contener únicamente números válidos.</t>
  </si>
  <si>
    <t>No debe contener números ni caracteres especiales.</t>
  </si>
  <si>
    <t>Solo se permiten valores M, F u Otro.</t>
  </si>
  <si>
    <t>Debe ser una fecha válida y no futura.</t>
  </si>
  <si>
    <t>Debe cumplir el formato estándar de correo electrónico.</t>
  </si>
  <si>
    <t>Debe contener 10 dígitos válidos para Colombia.</t>
  </si>
  <si>
    <t>Debe tener una estructura de dirección válida.</t>
  </si>
  <si>
    <t>Debe existir en el catálogo oficial de ciudades.</t>
  </si>
  <si>
    <t>Debe existir en el catálogo oficial de departamentos.</t>
  </si>
  <si>
    <t>Debe ser una fecha válida, no futura y posterior a la fecha de nacimiento.</t>
  </si>
  <si>
    <t>Solo se permiten valores Activo, Suspendido o Retirado.</t>
  </si>
  <si>
    <t>Solo se permiten valores Web, Presencial o Call Center.</t>
  </si>
  <si>
    <t>Debe ser un valor numérico mayor a cero.</t>
  </si>
  <si>
    <t>Debe ser igual o posterior a la fecha de afiliación.</t>
  </si>
  <si>
    <t>ID Dato</t>
  </si>
  <si>
    <t>SGD0001</t>
  </si>
  <si>
    <t>SGD0002</t>
  </si>
  <si>
    <t>SGD0003</t>
  </si>
  <si>
    <t>SGD0004</t>
  </si>
  <si>
    <t>SGD0005</t>
  </si>
  <si>
    <t>SGD0006</t>
  </si>
  <si>
    <t>SGD0007</t>
  </si>
  <si>
    <t>SGD0008</t>
  </si>
  <si>
    <t>SGD0009</t>
  </si>
  <si>
    <t>SGD0010</t>
  </si>
  <si>
    <t>SGD0011</t>
  </si>
  <si>
    <t>SGD0012</t>
  </si>
  <si>
    <t>SGD0013</t>
  </si>
  <si>
    <t>SGD0014</t>
  </si>
  <si>
    <t>SGD0015</t>
  </si>
  <si>
    <t>SGD0016</t>
  </si>
  <si>
    <t>SGD0017</t>
  </si>
  <si>
    <t>SGD0018</t>
  </si>
  <si>
    <t>ID Regla</t>
  </si>
  <si>
    <t>RCD001</t>
  </si>
  <si>
    <t>RCD002</t>
  </si>
  <si>
    <t>RCD003</t>
  </si>
  <si>
    <t>RCD004</t>
  </si>
  <si>
    <t>RCD005</t>
  </si>
  <si>
    <t>RCD006</t>
  </si>
  <si>
    <t>RCD007</t>
  </si>
  <si>
    <t>RCD008</t>
  </si>
  <si>
    <t>RCD009</t>
  </si>
  <si>
    <t>RCD010</t>
  </si>
  <si>
    <t>RCD011</t>
  </si>
  <si>
    <t>RCD012</t>
  </si>
  <si>
    <t>RCD013</t>
  </si>
  <si>
    <t>RCD014</t>
  </si>
  <si>
    <t>RCD015</t>
  </si>
  <si>
    <t>RCD016</t>
  </si>
  <si>
    <t>RCD017</t>
  </si>
  <si>
    <t>RCD018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</si>
</sst>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1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77E3E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10"/>
      <color rgb="FF9C0006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name val="Arial"/>
      <family val="2"/>
    </font>
    <font>
      <sz val="11"/>
      <color rgb="FF000000"/>
      <name val="Aptos Narrow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u/>
      <sz val="10"/>
      <color theme="10"/>
      <name val="Arial"/>
      <family val="2"/>
    </font>
    <font>
      <b/>
      <sz val="10"/>
      <name val="Aptos Narrow"/>
      <family val="2"/>
    </font>
    <font>
      <sz val="10"/>
      <color rgb="FF000000"/>
      <name val="Aptos Narrow"/>
      <family val="2"/>
    </font>
    <font>
      <sz val="10"/>
      <color rgb="FFFFFFFF"/>
      <name val="Aptos Narrow"/>
      <family val="2"/>
    </font>
    <font>
      <b/>
      <sz val="10"/>
      <color rgb="FF000000"/>
      <name val="Aptos Narrow"/>
      <family val="2"/>
    </font>
    <font>
      <b/>
      <sz val="10"/>
      <color rgb="FFFF0000"/>
      <name val="Aptos Narrow"/>
      <family val="2"/>
    </font>
    <font>
      <sz val="10"/>
      <color rgb="FF000000"/>
      <name val="Aptos Narrow"/>
      <scheme val="minor"/>
    </font>
    <font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1A5429"/>
        <bgColor rgb="FF1A5429"/>
      </patternFill>
    </fill>
    <fill>
      <patternFill patternType="solid">
        <fgColor rgb="FFEA4335"/>
        <bgColor rgb="FFEA4335"/>
      </patternFill>
    </fill>
    <fill>
      <patternFill patternType="solid">
        <fgColor rgb="FFD9E6FC"/>
        <bgColor rgb="FFD9E6FC"/>
      </patternFill>
    </fill>
    <fill>
      <patternFill patternType="solid">
        <fgColor rgb="FF002060"/>
        <bgColor rgb="FF00206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rgb="FF83E391"/>
      </patternFill>
    </fill>
    <fill>
      <patternFill patternType="solid">
        <fgColor rgb="FF1A552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E97132"/>
        <bgColor rgb="FF83E391"/>
      </patternFill>
    </fill>
    <fill>
      <patternFill patternType="solid">
        <fgColor rgb="FFC0E6F5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104861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5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4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5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2" borderId="0" applyNumberFormat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/>
    <xf numFmtId="0" fontId="30" fillId="0" borderId="0"/>
  </cellStyleXfs>
  <cellXfs count="77">
    <xf numFmtId="0" fontId="0" fillId="0" borderId="0" xfId="0"/>
    <xf numFmtId="0" fontId="8" fillId="7" borderId="1" xfId="0" applyFont="1" applyFill="1" applyBorder="1" applyAlignment="1">
      <alignment horizontal="center" wrapText="1"/>
    </xf>
    <xf numFmtId="0" fontId="8" fillId="7" borderId="0" xfId="0" applyFont="1" applyFill="1" applyAlignment="1">
      <alignment horizontal="center" wrapText="1"/>
    </xf>
    <xf numFmtId="0" fontId="8" fillId="7" borderId="0" xfId="0" applyFont="1" applyFill="1" applyAlignment="1">
      <alignment horizontal="left" wrapText="1"/>
    </xf>
    <xf numFmtId="0" fontId="8" fillId="8" borderId="1" xfId="0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0" fontId="3" fillId="9" borderId="1" xfId="0" applyFont="1" applyFill="1" applyBorder="1" applyAlignment="1">
      <alignment horizontal="center" wrapText="1" readingOrder="1"/>
    </xf>
    <xf numFmtId="0" fontId="8" fillId="10" borderId="2" xfId="0" applyFont="1" applyFill="1" applyBorder="1" applyAlignment="1">
      <alignment horizontal="center" wrapText="1" readingOrder="1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0" fillId="0" borderId="0" xfId="84"/>
    <xf numFmtId="0" fontId="10" fillId="0" borderId="0" xfId="84" applyAlignment="1">
      <alignment horizontal="center"/>
    </xf>
    <xf numFmtId="0" fontId="10" fillId="0" borderId="0" xfId="84" applyAlignment="1">
      <alignment wrapText="1"/>
    </xf>
    <xf numFmtId="0" fontId="14" fillId="15" borderId="7" xfId="84" applyFont="1" applyFill="1" applyBorder="1" applyAlignment="1">
      <alignment horizontal="center" vertical="center" wrapText="1" readingOrder="1"/>
    </xf>
    <xf numFmtId="0" fontId="13" fillId="13" borderId="8" xfId="84" applyFont="1" applyFill="1" applyBorder="1" applyAlignment="1">
      <alignment horizontal="center" wrapText="1"/>
    </xf>
    <xf numFmtId="0" fontId="10" fillId="12" borderId="8" xfId="84" applyFill="1" applyBorder="1" applyAlignment="1">
      <alignment wrapText="1"/>
    </xf>
    <xf numFmtId="0" fontId="10" fillId="11" borderId="8" xfId="84" applyFill="1" applyBorder="1" applyAlignment="1">
      <alignment wrapText="1"/>
    </xf>
    <xf numFmtId="0" fontId="12" fillId="14" borderId="8" xfId="84" applyFont="1" applyFill="1" applyBorder="1" applyAlignment="1">
      <alignment wrapText="1"/>
    </xf>
    <xf numFmtId="0" fontId="15" fillId="2" borderId="1" xfId="84" applyFont="1" applyFill="1" applyBorder="1" applyAlignment="1">
      <alignment horizontal="center"/>
    </xf>
    <xf numFmtId="0" fontId="15" fillId="3" borderId="1" xfId="84" applyFont="1" applyFill="1" applyBorder="1" applyAlignment="1">
      <alignment horizontal="center"/>
    </xf>
    <xf numFmtId="0" fontId="9" fillId="0" borderId="0" xfId="84" applyFont="1"/>
    <xf numFmtId="0" fontId="8" fillId="16" borderId="8" xfId="84" applyFont="1" applyFill="1" applyBorder="1" applyAlignment="1">
      <alignment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/>
    <xf numFmtId="3" fontId="0" fillId="0" borderId="1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9" fillId="7" borderId="0" xfId="0" applyFont="1" applyFill="1" applyAlignment="1">
      <alignment horizontal="center" wrapText="1"/>
    </xf>
    <xf numFmtId="0" fontId="20" fillId="2" borderId="4" xfId="0" applyFont="1" applyFill="1" applyBorder="1" applyAlignment="1">
      <alignment horizontal="center" vertical="center" wrapText="1" readingOrder="1"/>
    </xf>
    <xf numFmtId="0" fontId="20" fillId="3" borderId="4" xfId="0" applyFont="1" applyFill="1" applyBorder="1" applyAlignment="1">
      <alignment horizontal="center" vertical="center" wrapText="1" readingOrder="1"/>
    </xf>
    <xf numFmtId="0" fontId="20" fillId="9" borderId="4" xfId="0" applyFont="1" applyFill="1" applyBorder="1" applyAlignment="1">
      <alignment horizontal="center" vertical="center" wrapText="1" readingOrder="1"/>
    </xf>
    <xf numFmtId="0" fontId="21" fillId="0" borderId="0" xfId="0" applyFont="1"/>
    <xf numFmtId="3" fontId="21" fillId="0" borderId="6" xfId="0" applyNumberFormat="1" applyFont="1" applyBorder="1" applyAlignment="1">
      <alignment horizontal="left" vertical="center"/>
    </xf>
    <xf numFmtId="0" fontId="21" fillId="0" borderId="1" xfId="0" applyFont="1" applyBorder="1"/>
    <xf numFmtId="3" fontId="21" fillId="0" borderId="1" xfId="0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/>
    </xf>
    <xf numFmtId="10" fontId="21" fillId="0" borderId="5" xfId="0" applyNumberFormat="1" applyFont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vertical="center"/>
    </xf>
    <xf numFmtId="3" fontId="21" fillId="0" borderId="7" xfId="0" applyNumberFormat="1" applyFont="1" applyBorder="1" applyAlignment="1">
      <alignment horizontal="left" vertical="center"/>
    </xf>
    <xf numFmtId="0" fontId="21" fillId="0" borderId="7" xfId="0" applyFont="1" applyBorder="1"/>
    <xf numFmtId="0" fontId="21" fillId="0" borderId="7" xfId="0" applyFont="1" applyBorder="1" applyAlignment="1">
      <alignment horizontal="left"/>
    </xf>
    <xf numFmtId="0" fontId="21" fillId="0" borderId="4" xfId="0" applyFont="1" applyBorder="1"/>
    <xf numFmtId="3" fontId="21" fillId="0" borderId="5" xfId="0" applyNumberFormat="1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3" fontId="21" fillId="0" borderId="11" xfId="0" applyNumberFormat="1" applyFont="1" applyBorder="1" applyAlignment="1">
      <alignment horizontal="center" vertical="center"/>
    </xf>
    <xf numFmtId="0" fontId="21" fillId="0" borderId="9" xfId="0" applyFont="1" applyBorder="1"/>
    <xf numFmtId="3" fontId="21" fillId="0" borderId="9" xfId="0" applyNumberFormat="1" applyFont="1" applyBorder="1" applyAlignment="1">
      <alignment horizontal="center" vertical="center"/>
    </xf>
    <xf numFmtId="0" fontId="22" fillId="6" borderId="7" xfId="0" applyFont="1" applyFill="1" applyBorder="1" applyAlignment="1">
      <alignment horizontal="left"/>
    </xf>
    <xf numFmtId="1" fontId="16" fillId="3" borderId="1" xfId="84" applyNumberFormat="1" applyFont="1" applyFill="1" applyBorder="1" applyAlignment="1">
      <alignment horizontal="center"/>
    </xf>
    <xf numFmtId="0" fontId="24" fillId="17" borderId="8" xfId="0" applyFont="1" applyFill="1" applyBorder="1" applyAlignment="1">
      <alignment wrapText="1"/>
    </xf>
    <xf numFmtId="0" fontId="8" fillId="18" borderId="7" xfId="0" applyFont="1" applyFill="1" applyBorder="1" applyAlignment="1">
      <alignment wrapText="1" readingOrder="1"/>
    </xf>
    <xf numFmtId="0" fontId="8" fillId="16" borderId="10" xfId="0" applyFont="1" applyFill="1" applyBorder="1" applyAlignment="1">
      <alignment wrapText="1"/>
    </xf>
    <xf numFmtId="0" fontId="25" fillId="19" borderId="10" xfId="0" applyFont="1" applyFill="1" applyBorder="1" applyAlignment="1">
      <alignment wrapText="1"/>
    </xf>
    <xf numFmtId="0" fontId="25" fillId="20" borderId="10" xfId="0" applyFont="1" applyFill="1" applyBorder="1" applyAlignment="1">
      <alignment wrapText="1"/>
    </xf>
    <xf numFmtId="0" fontId="26" fillId="21" borderId="8" xfId="0" applyFont="1" applyFill="1" applyBorder="1" applyAlignment="1">
      <alignment wrapText="1"/>
    </xf>
    <xf numFmtId="0" fontId="25" fillId="0" borderId="0" xfId="0" applyFont="1" applyAlignment="1">
      <alignment wrapText="1"/>
    </xf>
    <xf numFmtId="0" fontId="27" fillId="2" borderId="3" xfId="0" applyFont="1" applyFill="1" applyBorder="1"/>
    <xf numFmtId="0" fontId="27" fillId="3" borderId="14" xfId="0" applyFont="1" applyFill="1" applyBorder="1"/>
    <xf numFmtId="0" fontId="28" fillId="3" borderId="14" xfId="0" applyFont="1" applyFill="1" applyBorder="1"/>
    <xf numFmtId="0" fontId="18" fillId="0" borderId="13" xfId="0" applyFont="1" applyBorder="1"/>
    <xf numFmtId="0" fontId="27" fillId="17" borderId="0" xfId="0" applyFont="1" applyFill="1"/>
    <xf numFmtId="0" fontId="25" fillId="0" borderId="0" xfId="0" applyFont="1"/>
    <xf numFmtId="0" fontId="25" fillId="0" borderId="0" xfId="0" quotePrefix="1" applyFont="1"/>
    <xf numFmtId="0" fontId="1" fillId="0" borderId="7" xfId="88" applyFont="1" applyBorder="1"/>
    <xf numFmtId="0" fontId="23" fillId="0" borderId="3" xfId="87" applyBorder="1"/>
    <xf numFmtId="14" fontId="9" fillId="0" borderId="0" xfId="84" applyNumberFormat="1" applyFont="1"/>
    <xf numFmtId="14" fontId="10" fillId="0" borderId="0" xfId="84" applyNumberFormat="1"/>
    <xf numFmtId="14" fontId="18" fillId="0" borderId="0" xfId="84" applyNumberFormat="1" applyFont="1"/>
    <xf numFmtId="14" fontId="29" fillId="0" borderId="0" xfId="84" applyNumberFormat="1" applyFont="1"/>
    <xf numFmtId="10" fontId="21" fillId="0" borderId="6" xfId="0" applyNumberFormat="1" applyFont="1" applyBorder="1" applyAlignment="1">
      <alignment horizontal="center" vertical="center"/>
    </xf>
    <xf numFmtId="0" fontId="23" fillId="0" borderId="2" xfId="87" applyBorder="1"/>
    <xf numFmtId="3" fontId="21" fillId="0" borderId="12" xfId="0" applyNumberFormat="1" applyFont="1" applyBorder="1" applyAlignment="1">
      <alignment horizontal="left" vertical="center"/>
    </xf>
    <xf numFmtId="3" fontId="0" fillId="0" borderId="4" xfId="0" applyNumberFormat="1" applyBorder="1" applyAlignment="1">
      <alignment horizontal="center" vertical="center"/>
    </xf>
    <xf numFmtId="0" fontId="23" fillId="0" borderId="7" xfId="87" applyBorder="1"/>
    <xf numFmtId="3" fontId="0" fillId="0" borderId="7" xfId="0" applyNumberFormat="1" applyBorder="1" applyAlignment="1">
      <alignment horizontal="center" vertical="center"/>
    </xf>
  </cellXfs>
  <cellStyles count="90">
    <cellStyle name="cf1" xfId="1" xr:uid="{4F13D849-A9E6-4322-96B4-F8D5B61C01F6}"/>
    <cellStyle name="cf10" xfId="2" xr:uid="{58BCBCC2-8B63-4BEF-9AC0-C6EF674186AE}"/>
    <cellStyle name="cf11" xfId="3" xr:uid="{E37DF12C-E676-4BFD-B778-E5776CD17C9C}"/>
    <cellStyle name="cf12" xfId="4" xr:uid="{EB33EEB7-818E-416B-B6E4-9F8DD22EED47}"/>
    <cellStyle name="cf13" xfId="5" xr:uid="{C6E71E42-CA6B-482F-AB53-E1F512919D34}"/>
    <cellStyle name="cf14" xfId="6" xr:uid="{9918F791-DAD2-4145-B341-3B735C470762}"/>
    <cellStyle name="cf15" xfId="7" xr:uid="{08F214A9-BB9F-4ECB-BD25-F1CFD8050F6E}"/>
    <cellStyle name="cf16" xfId="8" xr:uid="{E567164F-713C-4009-84E9-CBF0FD828346}"/>
    <cellStyle name="cf17" xfId="9" xr:uid="{12390170-597E-41E0-BA5C-6B11B94E7569}"/>
    <cellStyle name="cf18" xfId="10" xr:uid="{9D9EFA09-0726-4A41-86BF-4782CB1E0014}"/>
    <cellStyle name="cf19" xfId="11" xr:uid="{B1122ED4-3AB3-4FA8-B97F-64C3D3C5D098}"/>
    <cellStyle name="cf2" xfId="12" xr:uid="{11EC3405-AC6A-40EA-AC46-8FB0B0069796}"/>
    <cellStyle name="cf20" xfId="13" xr:uid="{012D40FE-0429-4017-A2EC-ED8BFC3453F8}"/>
    <cellStyle name="cf21" xfId="14" xr:uid="{2C449C8E-6B36-4B7D-BD09-6D52B12F078B}"/>
    <cellStyle name="cf22" xfId="15" xr:uid="{2004AD94-56C4-4850-B76C-082E72B9630E}"/>
    <cellStyle name="cf23" xfId="16" xr:uid="{06BBB71C-280E-4401-A151-35E157385BEB}"/>
    <cellStyle name="cf24" xfId="17" xr:uid="{DEA7F38B-BD24-4D7E-8D5D-74EFD68D0B88}"/>
    <cellStyle name="cf25" xfId="18" xr:uid="{DB5FAC7B-7603-460B-8843-7918B478288D}"/>
    <cellStyle name="cf26" xfId="19" xr:uid="{52F0BCFF-E4C0-4755-9FF3-C485C197C8C2}"/>
    <cellStyle name="cf27" xfId="20" xr:uid="{40183995-C5D6-4EF4-9F5C-AFB44202E630}"/>
    <cellStyle name="cf28" xfId="21" xr:uid="{31FB0E3A-9CC5-48A8-A9CB-F9851F3741A3}"/>
    <cellStyle name="cf29" xfId="22" xr:uid="{976E4C0B-55F9-4D86-8949-68C63FF6F5BA}"/>
    <cellStyle name="cf3" xfId="23" xr:uid="{26B18FA4-BC7E-4C74-9E3F-4978F467308E}"/>
    <cellStyle name="cf30" xfId="24" xr:uid="{30522CE5-7A71-4D3C-B02E-52F37C367F5E}"/>
    <cellStyle name="cf31" xfId="25" xr:uid="{AD6F9AA6-F152-4372-B3DA-9CBB43EE104C}"/>
    <cellStyle name="cf32" xfId="26" xr:uid="{B4C99BDB-6E93-4768-9003-4998406BAE26}"/>
    <cellStyle name="cf33" xfId="27" xr:uid="{9026C35D-2514-4B9D-9984-6E9314FE534F}"/>
    <cellStyle name="cf34" xfId="28" xr:uid="{1D67C3F0-2593-46EE-8157-08C2DF050F0E}"/>
    <cellStyle name="cf35" xfId="29" xr:uid="{E77DF090-5FEB-4EF4-A047-DCCDA7786DAF}"/>
    <cellStyle name="cf36" xfId="30" xr:uid="{0B4CFE79-6D96-421D-83C2-08AB384B7978}"/>
    <cellStyle name="cf37" xfId="31" xr:uid="{1EFB167B-2B5E-4130-A714-D8AFC70BF1AA}"/>
    <cellStyle name="cf38" xfId="32" xr:uid="{1D3B74D4-0104-46A9-9BF4-A7C313B4E2AF}"/>
    <cellStyle name="cf39" xfId="33" xr:uid="{9DBB1A43-9225-4643-9C3E-601BAB562AFA}"/>
    <cellStyle name="cf4" xfId="34" xr:uid="{4506C536-91A4-42D3-9251-9131AACBD2FD}"/>
    <cellStyle name="cf40" xfId="35" xr:uid="{C442E828-ADF1-491E-BA19-4D9B287FE2A3}"/>
    <cellStyle name="cf41" xfId="36" xr:uid="{C4B15926-1318-43AC-B068-4CC6B4EE1625}"/>
    <cellStyle name="cf42" xfId="37" xr:uid="{7B5D31FC-B285-4BC4-9E17-A9976EAD7FAB}"/>
    <cellStyle name="cf43" xfId="38" xr:uid="{9DB07A93-45F7-476F-8A69-8606DC094153}"/>
    <cellStyle name="cf44" xfId="39" xr:uid="{BA63A733-D771-4A97-A964-B396A0ED9A1B}"/>
    <cellStyle name="cf45" xfId="40" xr:uid="{D1BE0B6A-4B8C-48DC-9DF7-E6B6BB05ED78}"/>
    <cellStyle name="cf46" xfId="41" xr:uid="{0C39029A-BD10-4A36-9EE2-DBF37B308B86}"/>
    <cellStyle name="cf47" xfId="42" xr:uid="{9F39C7D3-0975-4C63-ADEA-970050F3F973}"/>
    <cellStyle name="cf48" xfId="43" xr:uid="{18A3DEBC-FA7A-4A3B-A8DD-523607D2DE7E}"/>
    <cellStyle name="cf49" xfId="44" xr:uid="{EA4D709E-DBB0-48C8-AAB8-148752BA976E}"/>
    <cellStyle name="cf5" xfId="45" xr:uid="{E716D503-D5E0-469E-8183-26DEBA7A030C}"/>
    <cellStyle name="cf50" xfId="46" xr:uid="{0FE8E12C-9558-40E2-9616-D59B254EC58C}"/>
    <cellStyle name="cf51" xfId="47" xr:uid="{2416CC37-0BC5-4706-A4BE-8DFDA508BD6B}"/>
    <cellStyle name="cf52" xfId="48" xr:uid="{3D285720-6B65-4FB0-BF45-7CA88EDD7B9D}"/>
    <cellStyle name="cf53" xfId="49" xr:uid="{4066C4C0-93B2-4221-B863-D98D99161055}"/>
    <cellStyle name="cf54" xfId="50" xr:uid="{C42A90AC-CF7B-4ED2-9FE3-53C07B5935A6}"/>
    <cellStyle name="cf55" xfId="51" xr:uid="{4BBC6FA1-8CC9-45AC-A32A-364BBA2EA33F}"/>
    <cellStyle name="cf56" xfId="52" xr:uid="{22CBAE2E-A6CD-4F66-AC8C-118344E49307}"/>
    <cellStyle name="cf57" xfId="53" xr:uid="{8305E9EC-9F41-4CDA-9468-27CEAD6349BF}"/>
    <cellStyle name="cf58" xfId="54" xr:uid="{0C496B30-D31C-4406-A07E-4FE594AB79B8}"/>
    <cellStyle name="cf59" xfId="55" xr:uid="{29E61E4A-CA70-4F93-B29C-51ED1AE516F0}"/>
    <cellStyle name="cf6" xfId="56" xr:uid="{71C10720-FFD4-4B3D-8369-35D578E2301A}"/>
    <cellStyle name="cf60" xfId="57" xr:uid="{F38B6B18-15F5-4DA5-8CD9-6211CBA9CD0A}"/>
    <cellStyle name="cf61" xfId="58" xr:uid="{B242DE5E-B374-4AEF-8E54-D72A06D4B5C3}"/>
    <cellStyle name="cf62" xfId="59" xr:uid="{F01D49CE-1D63-4EEA-A5BE-1B5A814CAC3A}"/>
    <cellStyle name="cf63" xfId="60" xr:uid="{9DC7B576-3435-4F1D-A911-ECA6CC30819A}"/>
    <cellStyle name="cf64" xfId="61" xr:uid="{43809C4E-E2C7-4C5F-BB5B-C1FEC46825EF}"/>
    <cellStyle name="cf65" xfId="62" xr:uid="{3B825C39-603E-453F-BD06-D39270F16A16}"/>
    <cellStyle name="cf66" xfId="63" xr:uid="{C4DF40AE-9040-45FC-94ED-FA3057E381DE}"/>
    <cellStyle name="cf67" xfId="64" xr:uid="{295E0DD9-009A-46E4-810E-C38C131B743D}"/>
    <cellStyle name="cf68" xfId="65" xr:uid="{30F16236-5774-4149-955E-BC55F46F1F7E}"/>
    <cellStyle name="cf69" xfId="66" xr:uid="{644EE0DE-DA42-4F33-9504-6C38E1596BDF}"/>
    <cellStyle name="cf7" xfId="67" xr:uid="{C59BA9AB-C34E-4C4C-9714-7791D2403B20}"/>
    <cellStyle name="cf70" xfId="68" xr:uid="{4E1FDBE3-CD33-4C08-A069-B7DEBEB94A49}"/>
    <cellStyle name="cf71" xfId="69" xr:uid="{D4962B5D-2D69-433D-A330-AFE2A4C83F7A}"/>
    <cellStyle name="cf72" xfId="70" xr:uid="{92288547-BDAD-4B88-87B3-4E8AC3C8C83C}"/>
    <cellStyle name="cf73" xfId="71" xr:uid="{EE0CBEC0-B749-47CB-9898-B9D06F0406B0}"/>
    <cellStyle name="cf74" xfId="72" xr:uid="{57D35F5C-CF89-49A1-BB74-401DE7CCF43F}"/>
    <cellStyle name="cf75" xfId="73" xr:uid="{CE57578C-C86E-4296-BABB-58E37AC42FF5}"/>
    <cellStyle name="cf76" xfId="74" xr:uid="{9F18878E-9AC5-4612-8D3E-4DA9C9B8801A}"/>
    <cellStyle name="cf77" xfId="75" xr:uid="{8ABB3CE6-367D-4E5B-9829-61577E945B0A}"/>
    <cellStyle name="cf78" xfId="76" xr:uid="{8DE52999-0FF6-49DB-98E9-E00B798FCD47}"/>
    <cellStyle name="cf79" xfId="77" xr:uid="{8469C113-152B-4ED1-9E82-3B977998F292}"/>
    <cellStyle name="cf8" xfId="78" xr:uid="{15701699-3E84-4D04-854B-FE7009647E0E}"/>
    <cellStyle name="cf80" xfId="79" xr:uid="{A253B9A9-E028-4A0D-886B-18F689F7F062}"/>
    <cellStyle name="cf81" xfId="80" xr:uid="{5E2ACC1C-8444-4DF2-B5FA-A6F72FE75413}"/>
    <cellStyle name="cf82" xfId="81" xr:uid="{30CAA09D-D9EB-4CA6-A7EC-8E3F1E94BE70}"/>
    <cellStyle name="cf83" xfId="82" xr:uid="{AEBF86C0-2C5C-4024-9520-B713475AF466}"/>
    <cellStyle name="cf9" xfId="83" xr:uid="{98536543-9386-4112-8DBA-551B0462C285}"/>
    <cellStyle name="Hipervínculo" xfId="87" builtinId="8"/>
    <cellStyle name="Hyperlink" xfId="86" xr:uid="{00000000-000B-0000-0000-000008000000}"/>
    <cellStyle name="Millares 2" xfId="85" xr:uid="{6DBFF735-72DA-49F6-B576-2A54F46A5049}"/>
    <cellStyle name="Normal" xfId="0" builtinId="0" customBuiltin="1"/>
    <cellStyle name="Normal 2" xfId="84" xr:uid="{DD8F7EA6-8BF8-4661-A8E5-9DD1844CBC84}"/>
    <cellStyle name="Normal 2 2" xfId="89" xr:uid="{74DF347E-77E7-8B47-9BD9-BB12072F459C}"/>
    <cellStyle name="Normal 3" xfId="88" xr:uid="{83F3069C-E7DA-0147-8868-517E887EC14F}"/>
  </cellStyles>
  <dxfs count="8"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color rgb="FFC00000"/>
        <family val="2"/>
      </font>
      <fill>
        <patternFill patternType="solid">
          <fgColor rgb="FFFAD9D6"/>
          <bgColor rgb="FFFAD9D6"/>
        </patternFill>
      </fill>
    </dxf>
    <dxf>
      <font>
        <b/>
        <family val="2"/>
      </font>
      <fill>
        <patternFill patternType="solid">
          <fgColor rgb="FFFEF1CC"/>
          <bgColor rgb="FFFEF1CC"/>
        </patternFill>
      </fill>
    </dxf>
    <dxf>
      <font>
        <b/>
        <color rgb="FF277E3E"/>
        <family val="2"/>
      </font>
      <fill>
        <patternFill patternType="solid">
          <fgColor rgb="FFD2F1DA"/>
          <bgColor rgb="FFD2F1DA"/>
        </patternFill>
      </fill>
    </dxf>
    <dxf>
      <font>
        <b/>
        <color rgb="FFC00000"/>
        <family val="2"/>
      </font>
      <fill>
        <patternFill patternType="solid">
          <fgColor rgb="FFFAD9D6"/>
          <bgColor rgb="FFFAD9D6"/>
        </patternFill>
      </fill>
    </dxf>
    <dxf>
      <font>
        <b/>
        <family val="2"/>
      </font>
      <fill>
        <patternFill patternType="solid">
          <fgColor rgb="FFFEF1CC"/>
          <bgColor rgb="FFFEF1CC"/>
        </patternFill>
      </fill>
    </dxf>
    <dxf>
      <font>
        <b/>
        <color rgb="FF277E3E"/>
        <family val="2"/>
      </font>
      <fill>
        <patternFill patternType="solid">
          <fgColor rgb="FFD2F1DA"/>
          <bgColor rgb="FFD2F1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CC85-8E93-4001-A09B-0A2A2D0A0913}">
  <dimension ref="A1:T2"/>
  <sheetViews>
    <sheetView workbookViewId="0">
      <selection activeCell="B2" sqref="B2"/>
    </sheetView>
  </sheetViews>
  <sheetFormatPr baseColWidth="10" defaultColWidth="12.5" defaultRowHeight="15" customHeight="1" x14ac:dyDescent="0.15"/>
  <cols>
    <col min="1" max="1" width="19" customWidth="1"/>
    <col min="2" max="2" width="22.33203125" customWidth="1"/>
    <col min="3" max="3" width="13" customWidth="1"/>
    <col min="4" max="4" width="11.83203125" bestFit="1" customWidth="1"/>
    <col min="5" max="5" width="16.6640625" customWidth="1"/>
    <col min="6" max="6" width="15.5" customWidth="1"/>
    <col min="7" max="7" width="12" customWidth="1"/>
    <col min="8" max="8" width="17.1640625" customWidth="1"/>
    <col min="9" max="9" width="14.6640625" customWidth="1"/>
    <col min="10" max="15" width="13.6640625" customWidth="1"/>
    <col min="16" max="19" width="15.1640625" customWidth="1"/>
    <col min="20" max="20" width="18" customWidth="1"/>
    <col min="21" max="24" width="11.5" customWidth="1"/>
    <col min="25" max="25" width="12.5" customWidth="1"/>
  </cols>
  <sheetData>
    <row r="1" spans="1:20" ht="40.2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 spans="1:20" ht="15.75" customHeight="1" x14ac:dyDescent="0.15">
      <c r="A2" s="23" t="s">
        <v>20</v>
      </c>
      <c r="B2" s="24">
        <v>46182</v>
      </c>
      <c r="C2" s="25" t="s">
        <v>800</v>
      </c>
      <c r="D2" s="25" t="s">
        <v>801</v>
      </c>
      <c r="E2" s="65" t="s">
        <v>802</v>
      </c>
      <c r="F2" s="24" t="s">
        <v>803</v>
      </c>
      <c r="G2" s="75" t="s">
        <v>804</v>
      </c>
      <c r="H2" s="9">
        <v>200</v>
      </c>
      <c r="I2" s="26">
        <f ca="1">SUM(Afiliados!D2:D201)</f>
        <v>34</v>
      </c>
      <c r="J2" s="9">
        <f>SUM(Afiliados!A2:A201)</f>
        <v>200</v>
      </c>
      <c r="K2" s="9">
        <f>SUM(Afiliados!B2:B201)</f>
        <v>195</v>
      </c>
      <c r="L2" s="9">
        <f ca="1">SUM(Afiliados!C2:C201)</f>
        <v>166</v>
      </c>
      <c r="M2" s="9">
        <f>H2-J2</f>
        <v>0</v>
      </c>
      <c r="N2" s="9">
        <f>$H2-K2</f>
        <v>5</v>
      </c>
      <c r="O2" s="9">
        <f ca="1">$H2-L2</f>
        <v>34</v>
      </c>
      <c r="P2" s="10">
        <f>AVERAGE(NMCD_DetalleCampos!Q2:Q19)</f>
        <v>1</v>
      </c>
      <c r="Q2" s="10">
        <f>AVERAGE(NMCD_DetalleCampos!R2:R19)</f>
        <v>0.998529411764706</v>
      </c>
      <c r="R2" s="10">
        <f ca="1">AVERAGE(NMCD_DetalleCampos!S2:S19)</f>
        <v>0.99</v>
      </c>
      <c r="S2" s="10">
        <f ca="1">AVERAGE(P2:R2)</f>
        <v>0.99617647058823522</v>
      </c>
      <c r="T2" s="10">
        <f ca="1">I2/H2</f>
        <v>0.17</v>
      </c>
    </row>
  </sheetData>
  <autoFilter ref="A1:T2" xr:uid="{3A75CC85-8E93-4001-A09B-0A2A2D0A0913}"/>
  <conditionalFormatting sqref="P2:S2">
    <cfRule type="cellIs" dxfId="7" priority="1" stopIfTrue="1" operator="greaterThanOrEqual">
      <formula>0.985</formula>
    </cfRule>
    <cfRule type="cellIs" dxfId="6" priority="2" stopIfTrue="1" operator="greaterThanOrEqual">
      <formula>0.95</formula>
    </cfRule>
    <cfRule type="cellIs" dxfId="5" priority="3" stopIfTrue="1" operator="greaterThanOrEqual">
      <formula>0</formula>
    </cfRule>
  </conditionalFormatting>
  <hyperlinks>
    <hyperlink ref="G2" location="Afiliados!A1" display="Afiliados" xr:uid="{D3388A9F-3879-E246-87D3-FF2A2BF6872F}"/>
  </hyperlinks>
  <pageMargins left="0.70000000000000007" right="0.70000000000000007" top="0.75000000000000011" bottom="0.75000000000000011" header="0" footer="0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EF01-E790-42D8-AC15-CC44EAE97295}">
  <dimension ref="A1:Y19"/>
  <sheetViews>
    <sheetView tabSelected="1" topLeftCell="E1" workbookViewId="0">
      <pane ySplit="1" topLeftCell="A2" activePane="bottomLeft" state="frozen"/>
      <selection pane="bottomLeft" activeCell="H23" sqref="H23"/>
    </sheetView>
  </sheetViews>
  <sheetFormatPr baseColWidth="10" defaultColWidth="9.1640625" defaultRowHeight="15" customHeight="1" x14ac:dyDescent="0.15"/>
  <cols>
    <col min="1" max="1" width="11.5" style="33" customWidth="1"/>
    <col min="2" max="2" width="13.33203125" style="33" bestFit="1" customWidth="1"/>
    <col min="3" max="3" width="32.33203125" style="33" bestFit="1" customWidth="1"/>
    <col min="4" max="4" width="11" style="33" customWidth="1"/>
    <col min="5" max="5" width="17.83203125" style="33" customWidth="1"/>
    <col min="6" max="6" width="15" style="33" customWidth="1"/>
    <col min="7" max="7" width="17.6640625" style="33" customWidth="1"/>
    <col min="8" max="8" width="13.33203125" style="33" customWidth="1"/>
    <col min="9" max="9" width="13.5" style="33" customWidth="1"/>
    <col min="10" max="11" width="11.5" style="33" customWidth="1"/>
    <col min="12" max="12" width="14.6640625" style="33" customWidth="1"/>
    <col min="13" max="13" width="11.5" style="33" customWidth="1"/>
    <col min="14" max="14" width="12" style="33" customWidth="1"/>
    <col min="15" max="15" width="13" style="33" customWidth="1"/>
    <col min="16" max="16" width="12.5" style="33" customWidth="1"/>
    <col min="17" max="17" width="14.83203125" style="33" customWidth="1"/>
    <col min="18" max="19" width="16.5" style="33" customWidth="1"/>
    <col min="20" max="20" width="41" style="33" customWidth="1"/>
    <col min="21" max="21" width="26.33203125" style="33" bestFit="1" customWidth="1"/>
    <col min="22" max="22" width="25" style="33" hidden="1" customWidth="1"/>
    <col min="23" max="23" width="47.33203125" style="33" customWidth="1"/>
    <col min="24" max="24" width="25.33203125" style="33" customWidth="1"/>
    <col min="25" max="25" width="13.5" style="33" customWidth="1"/>
    <col min="26" max="27" width="11.5" style="33" customWidth="1"/>
    <col min="28" max="28" width="12.5" style="33" customWidth="1"/>
    <col min="29" max="16384" width="9.1640625" style="33"/>
  </cols>
  <sheetData>
    <row r="1" spans="1:25" ht="37.25" customHeight="1" x14ac:dyDescent="0.15">
      <c r="A1" s="29" t="s">
        <v>1</v>
      </c>
      <c r="B1" s="29" t="s">
        <v>5</v>
      </c>
      <c r="C1" s="29" t="s">
        <v>6</v>
      </c>
      <c r="D1" s="29" t="s">
        <v>7</v>
      </c>
      <c r="E1" s="2" t="s">
        <v>840</v>
      </c>
      <c r="F1" s="2" t="s">
        <v>821</v>
      </c>
      <c r="G1" s="29" t="s">
        <v>21</v>
      </c>
      <c r="H1" s="29" t="s">
        <v>22</v>
      </c>
      <c r="I1" s="29" t="s">
        <v>23</v>
      </c>
      <c r="J1" s="29" t="s">
        <v>24</v>
      </c>
      <c r="K1" s="30" t="s">
        <v>9</v>
      </c>
      <c r="L1" s="30" t="s">
        <v>10</v>
      </c>
      <c r="M1" s="30" t="s">
        <v>11</v>
      </c>
      <c r="N1" s="31" t="s">
        <v>12</v>
      </c>
      <c r="O1" s="31" t="s">
        <v>13</v>
      </c>
      <c r="P1" s="31" t="s">
        <v>14</v>
      </c>
      <c r="Q1" s="32" t="s">
        <v>15</v>
      </c>
      <c r="R1" s="32" t="s">
        <v>16</v>
      </c>
      <c r="S1" s="32" t="s">
        <v>17</v>
      </c>
      <c r="T1" s="29" t="s">
        <v>25</v>
      </c>
      <c r="U1" s="29" t="s">
        <v>26</v>
      </c>
      <c r="V1" s="29" t="s">
        <v>27</v>
      </c>
      <c r="W1" s="29" t="s">
        <v>28</v>
      </c>
      <c r="X1" s="29" t="s">
        <v>29</v>
      </c>
      <c r="Y1" s="29" t="s">
        <v>30</v>
      </c>
    </row>
    <row r="2" spans="1:25" ht="12.75" customHeight="1" x14ac:dyDescent="0.15">
      <c r="A2" s="24">
        <v>46182</v>
      </c>
      <c r="B2" s="24" t="s">
        <v>803</v>
      </c>
      <c r="C2" s="66" t="s">
        <v>804</v>
      </c>
      <c r="D2" s="34">
        <v>200</v>
      </c>
      <c r="E2" s="34" t="s">
        <v>841</v>
      </c>
      <c r="F2" s="34" t="s">
        <v>822</v>
      </c>
      <c r="G2" s="35" t="s">
        <v>119</v>
      </c>
      <c r="H2" s="9" t="s">
        <v>31</v>
      </c>
      <c r="I2" s="9" t="s">
        <v>31</v>
      </c>
      <c r="J2" s="9" t="s">
        <v>31</v>
      </c>
      <c r="K2" s="36">
        <f>IF(H2="NO","",SUM(Afiliados!W2:W201))</f>
        <v>200</v>
      </c>
      <c r="L2" s="44">
        <f>SUM(Afiliados!Y2:Y201)</f>
        <v>200</v>
      </c>
      <c r="M2" s="39">
        <f>SUM(Afiliados!AP2:AP201)</f>
        <v>200</v>
      </c>
      <c r="N2" s="36">
        <f>IF(K2&gt;0,$D2-K2,"")</f>
        <v>0</v>
      </c>
      <c r="O2" s="36">
        <f t="shared" ref="O2:O19" si="0">IF(L2&gt;0,$D2-L2,"")</f>
        <v>0</v>
      </c>
      <c r="P2" s="45">
        <f t="shared" ref="P2:P19" si="1">IF(M2&gt;0,$D2-M2,"")</f>
        <v>0</v>
      </c>
      <c r="Q2" s="37">
        <f>IF(K2&gt;0,K2/$D2,"")</f>
        <v>1</v>
      </c>
      <c r="R2" s="37">
        <f t="shared" ref="R2:R19" si="2">IF(L2&gt;0,L2/$D2,"")</f>
        <v>1</v>
      </c>
      <c r="S2" s="38">
        <f t="shared" ref="S2:S19" si="3">IF(M2&gt;0,M2/$D2,"")</f>
        <v>1</v>
      </c>
      <c r="T2" s="39" t="s">
        <v>33</v>
      </c>
      <c r="U2" s="40" t="s">
        <v>34</v>
      </c>
      <c r="V2" s="40"/>
      <c r="W2" s="40" t="s">
        <v>805</v>
      </c>
      <c r="X2" s="40"/>
      <c r="Y2" s="40"/>
    </row>
    <row r="3" spans="1:25" ht="12.75" customHeight="1" x14ac:dyDescent="0.15">
      <c r="A3" s="24">
        <v>46182</v>
      </c>
      <c r="B3" s="24" t="s">
        <v>803</v>
      </c>
      <c r="C3" s="66" t="s">
        <v>804</v>
      </c>
      <c r="D3" s="34">
        <v>200</v>
      </c>
      <c r="E3" s="34" t="s">
        <v>842</v>
      </c>
      <c r="F3" s="34" t="s">
        <v>823</v>
      </c>
      <c r="G3" s="35" t="s">
        <v>120</v>
      </c>
      <c r="H3" s="9" t="s">
        <v>32</v>
      </c>
      <c r="I3" s="9" t="s">
        <v>31</v>
      </c>
      <c r="J3" s="9" t="s">
        <v>31</v>
      </c>
      <c r="K3" s="36"/>
      <c r="L3" s="44">
        <f>SUM(Afiliados!Z2:Z201)</f>
        <v>200</v>
      </c>
      <c r="M3" s="39">
        <f>SUM(Afiliados!AQ2:AQ201)</f>
        <v>200</v>
      </c>
      <c r="N3" s="39"/>
      <c r="O3" s="36">
        <f t="shared" si="0"/>
        <v>0</v>
      </c>
      <c r="P3" s="45">
        <f t="shared" si="1"/>
        <v>0</v>
      </c>
      <c r="Q3" s="71"/>
      <c r="R3" s="37">
        <f t="shared" si="2"/>
        <v>1</v>
      </c>
      <c r="S3" s="38">
        <f t="shared" si="3"/>
        <v>1</v>
      </c>
      <c r="T3" s="41"/>
      <c r="U3" s="40" t="s">
        <v>34</v>
      </c>
      <c r="V3" s="39"/>
      <c r="W3" s="40" t="s">
        <v>806</v>
      </c>
      <c r="X3" s="39"/>
      <c r="Y3" s="39"/>
    </row>
    <row r="4" spans="1:25" ht="12.75" customHeight="1" x14ac:dyDescent="0.15">
      <c r="A4" s="24">
        <v>46182</v>
      </c>
      <c r="B4" s="24" t="s">
        <v>803</v>
      </c>
      <c r="C4" s="66" t="s">
        <v>804</v>
      </c>
      <c r="D4" s="34">
        <v>200</v>
      </c>
      <c r="E4" s="34" t="s">
        <v>843</v>
      </c>
      <c r="F4" s="34" t="s">
        <v>824</v>
      </c>
      <c r="G4" s="35" t="s">
        <v>121</v>
      </c>
      <c r="H4" s="9" t="s">
        <v>31</v>
      </c>
      <c r="I4" s="9" t="s">
        <v>31</v>
      </c>
      <c r="J4" s="9" t="s">
        <v>31</v>
      </c>
      <c r="K4" s="36">
        <f>IF(H4="NO","",SUM(Afiliados!X2:X201))</f>
        <v>200</v>
      </c>
      <c r="L4" s="44">
        <f>SUM(Afiliados!Y2:Y203)</f>
        <v>200</v>
      </c>
      <c r="M4" s="39">
        <f>SUM(Afiliados!AR2:AR201)</f>
        <v>200</v>
      </c>
      <c r="N4" s="36">
        <f>IF(K4&gt;0,$D4-K4,"")</f>
        <v>0</v>
      </c>
      <c r="O4" s="36">
        <f t="shared" si="0"/>
        <v>0</v>
      </c>
      <c r="P4" s="45">
        <f t="shared" si="1"/>
        <v>0</v>
      </c>
      <c r="Q4" s="37">
        <f>IF(K4&gt;0,K4/$D4,"")</f>
        <v>1</v>
      </c>
      <c r="R4" s="37">
        <f t="shared" si="2"/>
        <v>1</v>
      </c>
      <c r="S4" s="38">
        <f t="shared" si="3"/>
        <v>1</v>
      </c>
      <c r="T4" s="39" t="s">
        <v>33</v>
      </c>
      <c r="U4" s="40" t="s">
        <v>34</v>
      </c>
      <c r="V4" s="39"/>
      <c r="W4" s="40" t="s">
        <v>807</v>
      </c>
      <c r="X4" s="39"/>
      <c r="Y4" s="39"/>
    </row>
    <row r="5" spans="1:25" ht="12.75" customHeight="1" x14ac:dyDescent="0.15">
      <c r="A5" s="24">
        <v>46182</v>
      </c>
      <c r="B5" s="24" t="s">
        <v>803</v>
      </c>
      <c r="C5" s="66" t="s">
        <v>804</v>
      </c>
      <c r="D5" s="34">
        <v>200</v>
      </c>
      <c r="E5" s="34" t="s">
        <v>844</v>
      </c>
      <c r="F5" s="34" t="s">
        <v>825</v>
      </c>
      <c r="G5" s="35" t="s">
        <v>35</v>
      </c>
      <c r="H5" s="9" t="s">
        <v>32</v>
      </c>
      <c r="I5" s="9" t="s">
        <v>31</v>
      </c>
      <c r="J5" s="9" t="s">
        <v>31</v>
      </c>
      <c r="K5" s="36"/>
      <c r="L5" s="44">
        <f>SUM(Afiliados!AB2:AB201)</f>
        <v>197</v>
      </c>
      <c r="M5" s="39">
        <f>SUM(Afiliados!AS2:AS201)</f>
        <v>197</v>
      </c>
      <c r="N5" s="41"/>
      <c r="O5" s="36">
        <f t="shared" si="0"/>
        <v>3</v>
      </c>
      <c r="P5" s="45">
        <f t="shared" si="1"/>
        <v>3</v>
      </c>
      <c r="Q5" s="71"/>
      <c r="R5" s="37">
        <f t="shared" si="2"/>
        <v>0.98499999999999999</v>
      </c>
      <c r="S5" s="38">
        <f t="shared" si="3"/>
        <v>0.98499999999999999</v>
      </c>
      <c r="T5" s="41"/>
      <c r="U5" s="40" t="s">
        <v>34</v>
      </c>
      <c r="V5" s="40"/>
      <c r="W5" s="40" t="s">
        <v>808</v>
      </c>
      <c r="X5" s="49"/>
      <c r="Y5" s="42"/>
    </row>
    <row r="6" spans="1:25" ht="12.75" customHeight="1" x14ac:dyDescent="0.15">
      <c r="A6" s="24">
        <v>46182</v>
      </c>
      <c r="B6" s="24" t="s">
        <v>803</v>
      </c>
      <c r="C6" s="66" t="s">
        <v>804</v>
      </c>
      <c r="D6" s="34">
        <v>200</v>
      </c>
      <c r="E6" s="34" t="s">
        <v>845</v>
      </c>
      <c r="F6" s="34" t="s">
        <v>826</v>
      </c>
      <c r="G6" s="35" t="s">
        <v>122</v>
      </c>
      <c r="H6" s="9" t="s">
        <v>32</v>
      </c>
      <c r="I6" s="9" t="s">
        <v>31</v>
      </c>
      <c r="J6" s="9" t="s">
        <v>31</v>
      </c>
      <c r="K6" s="36"/>
      <c r="L6" s="44">
        <f>SUM(Afiliados!AC2:AC201)</f>
        <v>200</v>
      </c>
      <c r="M6" s="39">
        <f>SUM(Afiliados!AT2:AT201)</f>
        <v>200</v>
      </c>
      <c r="N6" s="41"/>
      <c r="O6" s="36">
        <f t="shared" si="0"/>
        <v>0</v>
      </c>
      <c r="P6" s="45">
        <f t="shared" si="1"/>
        <v>0</v>
      </c>
      <c r="Q6" s="71"/>
      <c r="R6" s="37">
        <f t="shared" si="2"/>
        <v>1</v>
      </c>
      <c r="S6" s="38">
        <f t="shared" si="3"/>
        <v>1</v>
      </c>
      <c r="T6" s="41"/>
      <c r="U6" s="40" t="s">
        <v>34</v>
      </c>
      <c r="V6" s="40"/>
      <c r="W6" s="42" t="s">
        <v>808</v>
      </c>
      <c r="X6" s="42"/>
      <c r="Y6" s="42"/>
    </row>
    <row r="7" spans="1:25" ht="12.75" customHeight="1" x14ac:dyDescent="0.15">
      <c r="A7" s="24">
        <v>46182</v>
      </c>
      <c r="B7" s="24" t="s">
        <v>803</v>
      </c>
      <c r="C7" s="66" t="s">
        <v>804</v>
      </c>
      <c r="D7" s="34">
        <v>200</v>
      </c>
      <c r="E7" s="34" t="s">
        <v>846</v>
      </c>
      <c r="F7" s="34" t="s">
        <v>827</v>
      </c>
      <c r="G7" s="35" t="s">
        <v>123</v>
      </c>
      <c r="H7" s="9" t="s">
        <v>32</v>
      </c>
      <c r="I7" s="9" t="s">
        <v>32</v>
      </c>
      <c r="J7" s="9" t="s">
        <v>31</v>
      </c>
      <c r="K7" s="36"/>
      <c r="L7" s="44"/>
      <c r="M7" s="39">
        <f>SUM(Afiliados!AU2:AU201)</f>
        <v>200</v>
      </c>
      <c r="N7" s="39"/>
      <c r="O7" s="36" t="str">
        <f t="shared" si="0"/>
        <v/>
      </c>
      <c r="P7" s="45">
        <f t="shared" si="1"/>
        <v>0</v>
      </c>
      <c r="Q7" s="71"/>
      <c r="R7" s="37" t="str">
        <f t="shared" si="2"/>
        <v/>
      </c>
      <c r="S7" s="38">
        <f t="shared" si="3"/>
        <v>1</v>
      </c>
      <c r="T7" s="41"/>
      <c r="U7" s="40"/>
      <c r="V7" s="40"/>
      <c r="W7" s="42" t="s">
        <v>808</v>
      </c>
      <c r="X7" s="42"/>
      <c r="Y7" s="42"/>
    </row>
    <row r="8" spans="1:25" ht="12.75" customHeight="1" x14ac:dyDescent="0.15">
      <c r="A8" s="24">
        <v>46182</v>
      </c>
      <c r="B8" s="27" t="s">
        <v>803</v>
      </c>
      <c r="C8" s="72" t="s">
        <v>804</v>
      </c>
      <c r="D8" s="73">
        <v>200</v>
      </c>
      <c r="E8" s="73" t="s">
        <v>847</v>
      </c>
      <c r="F8" s="73" t="s">
        <v>828</v>
      </c>
      <c r="G8" s="43" t="s">
        <v>124</v>
      </c>
      <c r="H8" s="74" t="s">
        <v>32</v>
      </c>
      <c r="I8" s="74" t="s">
        <v>31</v>
      </c>
      <c r="J8" s="74" t="s">
        <v>31</v>
      </c>
      <c r="K8" s="43"/>
      <c r="L8" s="46">
        <f>SUM(Afiliados!AD2:AD201)</f>
        <v>200</v>
      </c>
      <c r="M8" s="48">
        <f>SUM(Afiliados!AV2:AV201)</f>
        <v>200</v>
      </c>
      <c r="N8" s="47"/>
      <c r="O8" s="45">
        <f t="shared" si="0"/>
        <v>0</v>
      </c>
      <c r="P8" s="45">
        <f t="shared" si="1"/>
        <v>0</v>
      </c>
      <c r="Q8" s="71"/>
      <c r="R8" s="37">
        <f t="shared" si="2"/>
        <v>1</v>
      </c>
      <c r="S8" s="38">
        <f t="shared" si="3"/>
        <v>1</v>
      </c>
      <c r="T8" s="40"/>
      <c r="U8" s="40" t="s">
        <v>34</v>
      </c>
      <c r="V8" s="40"/>
      <c r="W8" s="42" t="s">
        <v>809</v>
      </c>
      <c r="X8" s="42"/>
      <c r="Y8" s="42"/>
    </row>
    <row r="9" spans="1:25" ht="12.75" customHeight="1" x14ac:dyDescent="0.15">
      <c r="A9" s="24">
        <v>46182</v>
      </c>
      <c r="B9" s="28" t="s">
        <v>803</v>
      </c>
      <c r="C9" s="75" t="s">
        <v>804</v>
      </c>
      <c r="D9" s="40">
        <v>200</v>
      </c>
      <c r="E9" s="40" t="s">
        <v>848</v>
      </c>
      <c r="F9" s="40" t="s">
        <v>829</v>
      </c>
      <c r="G9" s="41" t="s">
        <v>125</v>
      </c>
      <c r="H9" s="76" t="s">
        <v>32</v>
      </c>
      <c r="I9" s="76" t="s">
        <v>31</v>
      </c>
      <c r="J9" s="76" t="s">
        <v>31</v>
      </c>
      <c r="K9" s="41"/>
      <c r="L9" s="39">
        <f>SUM(Afiliados!AE2:AE201)</f>
        <v>200</v>
      </c>
      <c r="M9" s="39">
        <f ca="1">SUM(Afiliados!AW2:AW201)</f>
        <v>200</v>
      </c>
      <c r="N9" s="41"/>
      <c r="O9" s="39">
        <f t="shared" si="0"/>
        <v>0</v>
      </c>
      <c r="P9" s="39">
        <f t="shared" ca="1" si="1"/>
        <v>0</v>
      </c>
      <c r="Q9" s="71"/>
      <c r="R9" s="37">
        <f t="shared" si="2"/>
        <v>1</v>
      </c>
      <c r="S9" s="38">
        <f t="shared" ca="1" si="3"/>
        <v>1</v>
      </c>
      <c r="T9" s="40"/>
      <c r="U9" s="40" t="s">
        <v>34</v>
      </c>
      <c r="V9" s="40"/>
      <c r="W9" s="42" t="s">
        <v>810</v>
      </c>
      <c r="X9" s="42"/>
      <c r="Y9" s="42"/>
    </row>
    <row r="10" spans="1:25" ht="12.75" customHeight="1" x14ac:dyDescent="0.15">
      <c r="A10" s="24">
        <v>46182</v>
      </c>
      <c r="B10" s="28" t="s">
        <v>803</v>
      </c>
      <c r="C10" s="75" t="s">
        <v>804</v>
      </c>
      <c r="D10" s="40">
        <v>200</v>
      </c>
      <c r="E10" s="40" t="s">
        <v>849</v>
      </c>
      <c r="F10" s="40" t="s">
        <v>830</v>
      </c>
      <c r="G10" s="41" t="s">
        <v>126</v>
      </c>
      <c r="H10" s="76" t="s">
        <v>32</v>
      </c>
      <c r="I10" s="76" t="s">
        <v>31</v>
      </c>
      <c r="J10" s="76" t="s">
        <v>31</v>
      </c>
      <c r="K10" s="41"/>
      <c r="L10" s="39">
        <f>SUM(Afiliados!AF2:AF201)</f>
        <v>200</v>
      </c>
      <c r="M10" s="39">
        <f>SUM(Afiliados!AX2:AX201)</f>
        <v>197</v>
      </c>
      <c r="N10" s="41"/>
      <c r="O10" s="39">
        <f t="shared" si="0"/>
        <v>0</v>
      </c>
      <c r="P10" s="39">
        <f t="shared" si="1"/>
        <v>3</v>
      </c>
      <c r="Q10" s="71"/>
      <c r="R10" s="37">
        <f t="shared" si="2"/>
        <v>1</v>
      </c>
      <c r="S10" s="38">
        <f t="shared" si="3"/>
        <v>0.98499999999999999</v>
      </c>
      <c r="T10" s="40"/>
      <c r="U10" s="40" t="s">
        <v>34</v>
      </c>
      <c r="V10" s="40"/>
      <c r="W10" s="42" t="s">
        <v>811</v>
      </c>
      <c r="X10" s="42"/>
      <c r="Y10" s="42"/>
    </row>
    <row r="11" spans="1:25" ht="12.75" customHeight="1" x14ac:dyDescent="0.15">
      <c r="A11" s="24">
        <v>46182</v>
      </c>
      <c r="B11" s="28" t="s">
        <v>803</v>
      </c>
      <c r="C11" s="75" t="s">
        <v>804</v>
      </c>
      <c r="D11" s="40">
        <v>200</v>
      </c>
      <c r="E11" s="40" t="s">
        <v>850</v>
      </c>
      <c r="F11" s="40" t="s">
        <v>831</v>
      </c>
      <c r="G11" s="41" t="s">
        <v>127</v>
      </c>
      <c r="H11" s="76" t="s">
        <v>32</v>
      </c>
      <c r="I11" s="76" t="s">
        <v>31</v>
      </c>
      <c r="J11" s="76" t="s">
        <v>31</v>
      </c>
      <c r="K11" s="41"/>
      <c r="L11" s="39">
        <f>SUM(Afiliados!AG2:AG201)</f>
        <v>200</v>
      </c>
      <c r="M11" s="39">
        <f>SUM(Afiliados!AY2:AY201)</f>
        <v>198</v>
      </c>
      <c r="N11" s="41"/>
      <c r="O11" s="39">
        <f t="shared" si="0"/>
        <v>0</v>
      </c>
      <c r="P11" s="39">
        <f t="shared" si="1"/>
        <v>2</v>
      </c>
      <c r="Q11" s="71"/>
      <c r="R11" s="37">
        <f t="shared" si="2"/>
        <v>1</v>
      </c>
      <c r="S11" s="38">
        <f t="shared" si="3"/>
        <v>0.99</v>
      </c>
      <c r="T11" s="40"/>
      <c r="U11" s="40" t="s">
        <v>34</v>
      </c>
      <c r="V11" s="40"/>
      <c r="W11" s="42" t="s">
        <v>812</v>
      </c>
      <c r="X11" s="42"/>
      <c r="Y11" s="42"/>
    </row>
    <row r="12" spans="1:25" ht="12.75" customHeight="1" x14ac:dyDescent="0.15">
      <c r="A12" s="24">
        <v>46182</v>
      </c>
      <c r="B12" s="28" t="s">
        <v>803</v>
      </c>
      <c r="C12" s="75" t="s">
        <v>804</v>
      </c>
      <c r="D12" s="40">
        <v>200</v>
      </c>
      <c r="E12" s="40" t="s">
        <v>851</v>
      </c>
      <c r="F12" s="40" t="s">
        <v>832</v>
      </c>
      <c r="G12" s="41" t="s">
        <v>128</v>
      </c>
      <c r="H12" s="76" t="s">
        <v>32</v>
      </c>
      <c r="I12" s="76" t="s">
        <v>31</v>
      </c>
      <c r="J12" s="76" t="s">
        <v>31</v>
      </c>
      <c r="K12" s="41"/>
      <c r="L12" s="39">
        <f>SUM(Afiliados!AH2:AH201)</f>
        <v>200</v>
      </c>
      <c r="M12" s="39">
        <f>SUM(Afiliados!AZ2:AZ201)</f>
        <v>200</v>
      </c>
      <c r="N12" s="41"/>
      <c r="O12" s="39">
        <f t="shared" si="0"/>
        <v>0</v>
      </c>
      <c r="P12" s="39">
        <f t="shared" si="1"/>
        <v>0</v>
      </c>
      <c r="Q12" s="71"/>
      <c r="R12" s="37">
        <f t="shared" si="2"/>
        <v>1</v>
      </c>
      <c r="S12" s="38">
        <f t="shared" si="3"/>
        <v>1</v>
      </c>
      <c r="T12" s="40"/>
      <c r="U12" s="40" t="s">
        <v>34</v>
      </c>
      <c r="V12" s="40"/>
      <c r="W12" s="42" t="s">
        <v>813</v>
      </c>
      <c r="X12" s="42"/>
      <c r="Y12" s="42"/>
    </row>
    <row r="13" spans="1:25" ht="12.75" customHeight="1" x14ac:dyDescent="0.15">
      <c r="A13" s="24">
        <v>46182</v>
      </c>
      <c r="B13" s="28" t="s">
        <v>803</v>
      </c>
      <c r="C13" s="75" t="s">
        <v>804</v>
      </c>
      <c r="D13" s="40">
        <v>200</v>
      </c>
      <c r="E13" s="40" t="s">
        <v>852</v>
      </c>
      <c r="F13" s="40" t="s">
        <v>833</v>
      </c>
      <c r="G13" s="41" t="s">
        <v>129</v>
      </c>
      <c r="H13" s="76" t="s">
        <v>32</v>
      </c>
      <c r="I13" s="76" t="s">
        <v>31</v>
      </c>
      <c r="J13" s="76" t="s">
        <v>31</v>
      </c>
      <c r="K13" s="41"/>
      <c r="L13" s="39">
        <f>SUM(Afiliados!AI2:AI201)</f>
        <v>200</v>
      </c>
      <c r="M13" s="39">
        <f>SUM(Afiliados!BA2:BA201)</f>
        <v>200</v>
      </c>
      <c r="N13" s="41"/>
      <c r="O13" s="39">
        <f t="shared" si="0"/>
        <v>0</v>
      </c>
      <c r="P13" s="39">
        <f t="shared" si="1"/>
        <v>0</v>
      </c>
      <c r="Q13" s="71"/>
      <c r="R13" s="37">
        <f t="shared" si="2"/>
        <v>1</v>
      </c>
      <c r="S13" s="38">
        <f t="shared" si="3"/>
        <v>1</v>
      </c>
      <c r="T13" s="40"/>
      <c r="U13" s="40" t="s">
        <v>34</v>
      </c>
      <c r="V13" s="40"/>
      <c r="W13" s="42" t="s">
        <v>814</v>
      </c>
      <c r="X13" s="42"/>
      <c r="Y13" s="42"/>
    </row>
    <row r="14" spans="1:25" ht="12.75" customHeight="1" x14ac:dyDescent="0.15">
      <c r="A14" s="24">
        <v>46182</v>
      </c>
      <c r="B14" s="28" t="s">
        <v>803</v>
      </c>
      <c r="C14" s="75" t="s">
        <v>804</v>
      </c>
      <c r="D14" s="40">
        <v>200</v>
      </c>
      <c r="E14" s="40" t="s">
        <v>853</v>
      </c>
      <c r="F14" s="40" t="s">
        <v>834</v>
      </c>
      <c r="G14" s="41" t="s">
        <v>130</v>
      </c>
      <c r="H14" s="76" t="s">
        <v>32</v>
      </c>
      <c r="I14" s="76" t="s">
        <v>31</v>
      </c>
      <c r="J14" s="76" t="s">
        <v>31</v>
      </c>
      <c r="K14" s="41"/>
      <c r="L14" s="39">
        <f>SUM(Afiliados!AJ2:AJ201)</f>
        <v>200</v>
      </c>
      <c r="M14" s="39">
        <f>SUM(Afiliados!BB2:BB201)</f>
        <v>200</v>
      </c>
      <c r="N14" s="41"/>
      <c r="O14" s="39">
        <f t="shared" si="0"/>
        <v>0</v>
      </c>
      <c r="P14" s="39">
        <f t="shared" si="1"/>
        <v>0</v>
      </c>
      <c r="Q14" s="71"/>
      <c r="R14" s="37">
        <f t="shared" si="2"/>
        <v>1</v>
      </c>
      <c r="S14" s="38">
        <f t="shared" si="3"/>
        <v>1</v>
      </c>
      <c r="T14" s="40"/>
      <c r="U14" s="40" t="s">
        <v>34</v>
      </c>
      <c r="V14" s="40"/>
      <c r="W14" s="42" t="s">
        <v>815</v>
      </c>
      <c r="X14" s="42"/>
      <c r="Y14" s="42"/>
    </row>
    <row r="15" spans="1:25" ht="12.75" customHeight="1" x14ac:dyDescent="0.15">
      <c r="A15" s="24">
        <v>46182</v>
      </c>
      <c r="B15" s="28" t="s">
        <v>803</v>
      </c>
      <c r="C15" s="75" t="s">
        <v>804</v>
      </c>
      <c r="D15" s="40">
        <v>200</v>
      </c>
      <c r="E15" s="40" t="s">
        <v>854</v>
      </c>
      <c r="F15" s="40" t="s">
        <v>835</v>
      </c>
      <c r="G15" s="41" t="s">
        <v>131</v>
      </c>
      <c r="H15" s="76" t="s">
        <v>32</v>
      </c>
      <c r="I15" s="76" t="s">
        <v>31</v>
      </c>
      <c r="J15" s="76" t="s">
        <v>31</v>
      </c>
      <c r="K15" s="41"/>
      <c r="L15" s="39">
        <f>SUM(Afiliados!AK2:AK201)</f>
        <v>198</v>
      </c>
      <c r="M15" s="39">
        <f ca="1">SUM(Afiliados!BC2:BC201)</f>
        <v>198</v>
      </c>
      <c r="N15" s="41"/>
      <c r="O15" s="39">
        <f t="shared" si="0"/>
        <v>2</v>
      </c>
      <c r="P15" s="39">
        <f t="shared" ca="1" si="1"/>
        <v>2</v>
      </c>
      <c r="Q15" s="71"/>
      <c r="R15" s="37">
        <f t="shared" si="2"/>
        <v>0.99</v>
      </c>
      <c r="S15" s="38">
        <f t="shared" ca="1" si="3"/>
        <v>0.99</v>
      </c>
      <c r="T15" s="40"/>
      <c r="U15" s="40" t="s">
        <v>34</v>
      </c>
      <c r="V15" s="40"/>
      <c r="W15" s="42" t="s">
        <v>816</v>
      </c>
      <c r="X15" s="42"/>
      <c r="Y15" s="42"/>
    </row>
    <row r="16" spans="1:25" ht="12.75" customHeight="1" x14ac:dyDescent="0.15">
      <c r="A16" s="24">
        <v>46182</v>
      </c>
      <c r="B16" s="28" t="s">
        <v>803</v>
      </c>
      <c r="C16" s="75" t="s">
        <v>804</v>
      </c>
      <c r="D16" s="40">
        <v>200</v>
      </c>
      <c r="E16" s="40" t="s">
        <v>855</v>
      </c>
      <c r="F16" s="40" t="s">
        <v>836</v>
      </c>
      <c r="G16" s="41" t="s">
        <v>132</v>
      </c>
      <c r="H16" s="76" t="s">
        <v>32</v>
      </c>
      <c r="I16" s="76" t="s">
        <v>31</v>
      </c>
      <c r="J16" s="76" t="s">
        <v>31</v>
      </c>
      <c r="K16" s="41"/>
      <c r="L16" s="39">
        <f>SUM(Afiliados!AL2:AL201)</f>
        <v>200</v>
      </c>
      <c r="M16" s="39">
        <f>SUM(Afiliados!BD2:BD201)</f>
        <v>200</v>
      </c>
      <c r="N16" s="41"/>
      <c r="O16" s="39">
        <f t="shared" si="0"/>
        <v>0</v>
      </c>
      <c r="P16" s="39">
        <f t="shared" si="1"/>
        <v>0</v>
      </c>
      <c r="Q16" s="71"/>
      <c r="R16" s="37">
        <f t="shared" si="2"/>
        <v>1</v>
      </c>
      <c r="S16" s="38">
        <f t="shared" si="3"/>
        <v>1</v>
      </c>
      <c r="T16" s="40"/>
      <c r="U16" s="40" t="s">
        <v>34</v>
      </c>
      <c r="V16" s="40"/>
      <c r="W16" s="42" t="s">
        <v>817</v>
      </c>
      <c r="X16" s="42"/>
      <c r="Y16" s="42"/>
    </row>
    <row r="17" spans="1:25" ht="12.75" customHeight="1" x14ac:dyDescent="0.15">
      <c r="A17" s="24">
        <v>46182</v>
      </c>
      <c r="B17" s="28" t="s">
        <v>803</v>
      </c>
      <c r="C17" s="75" t="s">
        <v>804</v>
      </c>
      <c r="D17" s="40">
        <v>200</v>
      </c>
      <c r="E17" s="40" t="s">
        <v>856</v>
      </c>
      <c r="F17" s="40" t="s">
        <v>837</v>
      </c>
      <c r="G17" s="41" t="s">
        <v>133</v>
      </c>
      <c r="H17" s="76" t="s">
        <v>32</v>
      </c>
      <c r="I17" s="76" t="s">
        <v>31</v>
      </c>
      <c r="J17" s="76" t="s">
        <v>31</v>
      </c>
      <c r="K17" s="39"/>
      <c r="L17" s="39">
        <f>SUM(Afiliados!AM2:AM201)</f>
        <v>200</v>
      </c>
      <c r="M17" s="39">
        <f>SUM(Afiliados!BE2:BE201)</f>
        <v>200</v>
      </c>
      <c r="N17" s="41"/>
      <c r="O17" s="39">
        <f t="shared" si="0"/>
        <v>0</v>
      </c>
      <c r="P17" s="39">
        <f t="shared" si="1"/>
        <v>0</v>
      </c>
      <c r="Q17" s="71"/>
      <c r="R17" s="37">
        <f t="shared" si="2"/>
        <v>1</v>
      </c>
      <c r="S17" s="38">
        <f t="shared" si="3"/>
        <v>1</v>
      </c>
      <c r="T17" s="40"/>
      <c r="U17" s="40" t="s">
        <v>34</v>
      </c>
      <c r="V17" s="40"/>
      <c r="W17" s="42" t="s">
        <v>818</v>
      </c>
      <c r="X17" s="42"/>
      <c r="Y17" s="42"/>
    </row>
    <row r="18" spans="1:25" ht="12.75" customHeight="1" x14ac:dyDescent="0.15">
      <c r="A18" s="24">
        <v>46182</v>
      </c>
      <c r="B18" s="28" t="s">
        <v>803</v>
      </c>
      <c r="C18" s="75" t="s">
        <v>804</v>
      </c>
      <c r="D18" s="40">
        <v>200</v>
      </c>
      <c r="E18" s="40" t="s">
        <v>857</v>
      </c>
      <c r="F18" s="40" t="s">
        <v>838</v>
      </c>
      <c r="G18" s="41" t="s">
        <v>134</v>
      </c>
      <c r="H18" s="76" t="s">
        <v>32</v>
      </c>
      <c r="I18" s="76" t="s">
        <v>31</v>
      </c>
      <c r="J18" s="76" t="s">
        <v>31</v>
      </c>
      <c r="K18" s="39"/>
      <c r="L18" s="39">
        <f>SUM(Afiliados!AN2:AN201)</f>
        <v>200</v>
      </c>
      <c r="M18" s="39">
        <f>SUM(Afiliados!BF2:BF201)</f>
        <v>200</v>
      </c>
      <c r="N18" s="39"/>
      <c r="O18" s="39">
        <f t="shared" si="0"/>
        <v>0</v>
      </c>
      <c r="P18" s="39">
        <f t="shared" si="1"/>
        <v>0</v>
      </c>
      <c r="Q18" s="71"/>
      <c r="R18" s="37">
        <f t="shared" si="2"/>
        <v>1</v>
      </c>
      <c r="S18" s="38">
        <f t="shared" si="3"/>
        <v>1</v>
      </c>
      <c r="T18" s="41"/>
      <c r="U18" s="40" t="s">
        <v>34</v>
      </c>
      <c r="V18" s="40"/>
      <c r="W18" s="42" t="s">
        <v>819</v>
      </c>
      <c r="X18" s="42"/>
      <c r="Y18" s="42"/>
    </row>
    <row r="19" spans="1:25" ht="12.75" customHeight="1" x14ac:dyDescent="0.15">
      <c r="A19" s="24">
        <v>46182</v>
      </c>
      <c r="B19" s="28" t="s">
        <v>803</v>
      </c>
      <c r="C19" s="75" t="s">
        <v>804</v>
      </c>
      <c r="D19" s="40">
        <v>200</v>
      </c>
      <c r="E19" s="40" t="s">
        <v>858</v>
      </c>
      <c r="F19" s="40" t="s">
        <v>839</v>
      </c>
      <c r="G19" s="41" t="s">
        <v>135</v>
      </c>
      <c r="H19" s="76" t="s">
        <v>32</v>
      </c>
      <c r="I19" s="76" t="s">
        <v>31</v>
      </c>
      <c r="J19" s="76" t="s">
        <v>31</v>
      </c>
      <c r="K19" s="39"/>
      <c r="L19" s="39">
        <f>SUM(Afiliados!AO2:AO201)</f>
        <v>200</v>
      </c>
      <c r="M19" s="39">
        <f ca="1">SUM(Afiliados!BG2:BG201)</f>
        <v>174</v>
      </c>
      <c r="N19" s="41"/>
      <c r="O19" s="39">
        <f t="shared" si="0"/>
        <v>0</v>
      </c>
      <c r="P19" s="39">
        <f t="shared" ca="1" si="1"/>
        <v>26</v>
      </c>
      <c r="Q19" s="71"/>
      <c r="R19" s="37">
        <f t="shared" si="2"/>
        <v>1</v>
      </c>
      <c r="S19" s="38">
        <f t="shared" ca="1" si="3"/>
        <v>0.87</v>
      </c>
      <c r="T19" s="41"/>
      <c r="U19" s="40" t="s">
        <v>34</v>
      </c>
      <c r="V19" s="40"/>
      <c r="W19" s="42" t="s">
        <v>820</v>
      </c>
      <c r="X19" s="42"/>
      <c r="Y19" s="42"/>
    </row>
  </sheetData>
  <phoneticPr fontId="17" type="noConversion"/>
  <conditionalFormatting sqref="Q2:S19">
    <cfRule type="cellIs" dxfId="4" priority="1" stopIfTrue="1" operator="greaterThanOrEqual">
      <formula>0.985</formula>
    </cfRule>
    <cfRule type="cellIs" dxfId="3" priority="2" stopIfTrue="1" operator="greaterThanOrEqual">
      <formula>0.95</formula>
    </cfRule>
    <cfRule type="cellIs" dxfId="2" priority="3" stopIfTrue="1" operator="greaterThanOrEqual">
      <formula>0</formula>
    </cfRule>
  </conditionalFormatting>
  <hyperlinks>
    <hyperlink ref="C2" location="Afiliados!A1" display="Afiliados" xr:uid="{E03F9260-329D-7345-BCDA-AE5829F003FF}"/>
    <hyperlink ref="C3:C19" location="Afiliados!A1" display="Afiliados" xr:uid="{2581DC0D-E4F1-5F46-877A-E250C53DED9C}"/>
  </hyperlinks>
  <pageMargins left="0.70000000000000007" right="0.70000000000000007" top="0.75000000000000011" bottom="0.75000000000000011" header="0" footer="0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0530-3AEB-4CCF-9ADD-1554B847B945}">
  <sheetPr>
    <outlinePr summaryBelow="0" summaryRight="0"/>
  </sheetPr>
  <dimension ref="A1:BG201"/>
  <sheetViews>
    <sheetView zoomScale="120" zoomScaleNormal="120" workbookViewId="0"/>
  </sheetViews>
  <sheetFormatPr baseColWidth="10" defaultColWidth="12.5" defaultRowHeight="15.75" customHeight="1" x14ac:dyDescent="0.2"/>
  <cols>
    <col min="1" max="3" width="12.5" style="11"/>
    <col min="4" max="4" width="18.5" style="11" customWidth="1"/>
    <col min="5" max="5" width="9.5" style="11" bestFit="1" customWidth="1"/>
    <col min="6" max="6" width="18.1640625" style="11" bestFit="1" customWidth="1"/>
    <col min="7" max="7" width="18.83203125" style="11" bestFit="1" customWidth="1"/>
    <col min="8" max="8" width="13.33203125" style="11" customWidth="1"/>
    <col min="9" max="9" width="15.6640625" style="11" customWidth="1"/>
    <col min="10" max="10" width="13" style="11" bestFit="1" customWidth="1"/>
    <col min="11" max="11" width="10.83203125" style="11" bestFit="1" customWidth="1"/>
    <col min="12" max="12" width="13.83203125" style="11" customWidth="1"/>
    <col min="13" max="13" width="23.83203125" style="11" bestFit="1" customWidth="1"/>
    <col min="14" max="14" width="11.1640625" style="11" bestFit="1" customWidth="1"/>
    <col min="15" max="15" width="14" style="11" bestFit="1" customWidth="1"/>
    <col min="16" max="16" width="11.1640625" style="11" bestFit="1" customWidth="1"/>
    <col min="17" max="17" width="7.1640625" style="11" bestFit="1" customWidth="1"/>
    <col min="18" max="19" width="11.83203125" style="11" bestFit="1" customWidth="1"/>
    <col min="20" max="20" width="14.1640625" style="11" bestFit="1" customWidth="1"/>
    <col min="21" max="21" width="11.6640625" style="11" bestFit="1" customWidth="1"/>
    <col min="22" max="22" width="28.33203125" style="11" bestFit="1" customWidth="1"/>
    <col min="23" max="41" width="12.1640625" style="11" customWidth="1"/>
    <col min="42" max="42" width="13.83203125" style="11" customWidth="1"/>
    <col min="43" max="44" width="12.1640625" style="11" customWidth="1"/>
    <col min="45" max="16384" width="12.5" style="11"/>
  </cols>
  <sheetData>
    <row r="1" spans="1:59" s="13" customFormat="1" ht="45" x14ac:dyDescent="0.2">
      <c r="A1" s="15" t="s">
        <v>39</v>
      </c>
      <c r="B1" s="15" t="s">
        <v>40</v>
      </c>
      <c r="C1" s="15" t="s">
        <v>41</v>
      </c>
      <c r="D1" s="14" t="s">
        <v>42</v>
      </c>
      <c r="E1" s="22" t="s">
        <v>119</v>
      </c>
      <c r="F1" s="22" t="s">
        <v>120</v>
      </c>
      <c r="G1" s="22" t="s">
        <v>121</v>
      </c>
      <c r="H1" s="22" t="s">
        <v>35</v>
      </c>
      <c r="I1" s="22" t="s">
        <v>122</v>
      </c>
      <c r="J1" s="22" t="s">
        <v>123</v>
      </c>
      <c r="K1" s="22" t="s">
        <v>124</v>
      </c>
      <c r="L1" s="22" t="s">
        <v>125</v>
      </c>
      <c r="M1" s="22" t="s">
        <v>126</v>
      </c>
      <c r="N1" s="22" t="s">
        <v>127</v>
      </c>
      <c r="O1" s="22" t="s">
        <v>128</v>
      </c>
      <c r="P1" s="22" t="s">
        <v>129</v>
      </c>
      <c r="Q1" s="22" t="s">
        <v>130</v>
      </c>
      <c r="R1" s="22" t="s">
        <v>131</v>
      </c>
      <c r="S1" s="22" t="s">
        <v>132</v>
      </c>
      <c r="T1" s="22" t="s">
        <v>133</v>
      </c>
      <c r="U1" s="22" t="s">
        <v>134</v>
      </c>
      <c r="V1" s="22" t="s">
        <v>135</v>
      </c>
      <c r="W1" s="16" t="str">
        <f>_xlfn.CONCAT("Unicidad ",E1)</f>
        <v>Unicidad Id_Afiliado</v>
      </c>
      <c r="X1" s="16" t="str">
        <f>_xlfn.CONCAT("Unicidad ",G1)</f>
        <v>Unicidad Numero_Documento</v>
      </c>
      <c r="Y1" s="17" t="str">
        <f>_xlfn.CONCAT("Completitud ",E1)</f>
        <v>Completitud Id_Afiliado</v>
      </c>
      <c r="Z1" s="17" t="str">
        <f>_xlfn.CONCAT("Completitud ",F1)</f>
        <v>Completitud Tipo_Documento</v>
      </c>
      <c r="AA1" s="17" t="str">
        <f>_xlfn.CONCAT("Completitud ",G1)</f>
        <v>Completitud Numero_Documento</v>
      </c>
      <c r="AB1" s="17" t="str">
        <f>_xlfn.CONCAT("Completitud ",H1)</f>
        <v>Completitud Nombre</v>
      </c>
      <c r="AC1" s="17" t="str">
        <f>_xlfn.CONCAT("Completitud ",I1)</f>
        <v>Completitud Apellido1</v>
      </c>
      <c r="AD1" s="17" t="str">
        <f t="shared" ref="AD1:AO1" si="0">_xlfn.CONCAT("Completitud ",K1)</f>
        <v>Completitud Genero</v>
      </c>
      <c r="AE1" s="17" t="str">
        <f t="shared" si="0"/>
        <v>Completitud Fecha_Nacimiento</v>
      </c>
      <c r="AF1" s="17" t="str">
        <f t="shared" si="0"/>
        <v>Completitud Correo_Electronico</v>
      </c>
      <c r="AG1" s="17" t="str">
        <f t="shared" si="0"/>
        <v>Completitud Telefono</v>
      </c>
      <c r="AH1" s="17" t="str">
        <f t="shared" si="0"/>
        <v>Completitud Direccion</v>
      </c>
      <c r="AI1" s="17" t="str">
        <f t="shared" si="0"/>
        <v>Completitud Ciudad</v>
      </c>
      <c r="AJ1" s="17" t="str">
        <f t="shared" si="0"/>
        <v>Completitud Departamento</v>
      </c>
      <c r="AK1" s="17" t="str">
        <f t="shared" si="0"/>
        <v>Completitud Fecha_Afiliacion</v>
      </c>
      <c r="AL1" s="17" t="str">
        <f t="shared" si="0"/>
        <v>Completitud Estado_Afiliacion</v>
      </c>
      <c r="AM1" s="17" t="str">
        <f t="shared" si="0"/>
        <v>Completitud Canal_Afiliacion</v>
      </c>
      <c r="AN1" s="17" t="str">
        <f t="shared" si="0"/>
        <v>Completitud Tarifa_Afiliacion</v>
      </c>
      <c r="AO1" s="17" t="str">
        <f t="shared" si="0"/>
        <v>Completitud Fecha_Actualizacion</v>
      </c>
      <c r="AP1" s="18" t="str">
        <f t="shared" ref="AP1:BG1" si="1">_xlfn.CONCAT("Validez ",E1)</f>
        <v>Validez Id_Afiliado</v>
      </c>
      <c r="AQ1" s="18" t="str">
        <f t="shared" si="1"/>
        <v>Validez Tipo_Documento</v>
      </c>
      <c r="AR1" s="18" t="str">
        <f t="shared" si="1"/>
        <v>Validez Numero_Documento</v>
      </c>
      <c r="AS1" s="18" t="str">
        <f t="shared" si="1"/>
        <v>Validez Nombre</v>
      </c>
      <c r="AT1" s="18" t="str">
        <f t="shared" si="1"/>
        <v>Validez Apellido1</v>
      </c>
      <c r="AU1" s="18" t="str">
        <f t="shared" si="1"/>
        <v>Validez Apellido2</v>
      </c>
      <c r="AV1" s="18" t="str">
        <f t="shared" si="1"/>
        <v>Validez Genero</v>
      </c>
      <c r="AW1" s="18" t="str">
        <f t="shared" si="1"/>
        <v>Validez Fecha_Nacimiento</v>
      </c>
      <c r="AX1" s="18" t="str">
        <f t="shared" si="1"/>
        <v>Validez Correo_Electronico</v>
      </c>
      <c r="AY1" s="18" t="str">
        <f t="shared" si="1"/>
        <v>Validez Telefono</v>
      </c>
      <c r="AZ1" s="18" t="str">
        <f t="shared" si="1"/>
        <v>Validez Direccion</v>
      </c>
      <c r="BA1" s="18" t="str">
        <f t="shared" si="1"/>
        <v>Validez Ciudad</v>
      </c>
      <c r="BB1" s="18" t="str">
        <f t="shared" si="1"/>
        <v>Validez Departamento</v>
      </c>
      <c r="BC1" s="18" t="str">
        <f t="shared" si="1"/>
        <v>Validez Fecha_Afiliacion</v>
      </c>
      <c r="BD1" s="18" t="str">
        <f t="shared" si="1"/>
        <v>Validez Estado_Afiliacion</v>
      </c>
      <c r="BE1" s="18" t="str">
        <f t="shared" si="1"/>
        <v>Validez Canal_Afiliacion</v>
      </c>
      <c r="BF1" s="18" t="str">
        <f t="shared" si="1"/>
        <v>Validez Tarifa_Afiliacion</v>
      </c>
      <c r="BG1" s="18" t="str">
        <f t="shared" si="1"/>
        <v>Validez Fecha_Actualizacion</v>
      </c>
    </row>
    <row r="2" spans="1:59" ht="15" x14ac:dyDescent="0.2">
      <c r="A2" s="19">
        <f>IF(AND(W2=1,X2=1),1,0)</f>
        <v>1</v>
      </c>
      <c r="B2" s="20">
        <f>IF(AND(Y2=1,Z2=1,AA2=1,AB2=1,AC2=1,AD2=1,AE2=1,AF2=1,AG2=1,AH2=1,AI2=1,AJ2=1,AK2=1,AL2=1,AM2=1,AN2=1,AO2=1),1,0)</f>
        <v>1</v>
      </c>
      <c r="C2" s="20">
        <f ca="1">IF(AND(AP2=1,AQ2=1,AR2=1,AS2=1,AT2=1,AU2=1,AV2=1,AW2=1,AX2=1,AY2=1,AZ2=1,BA2=1,BB2=1,BC2=1,BD2=1,BE2=1,BF2=1,BG2=1),1,0)</f>
        <v>1</v>
      </c>
      <c r="D2" s="50">
        <f ca="1">IF(SUM(A2:C2)&lt;3,1,0)</f>
        <v>0</v>
      </c>
      <c r="E2" s="21" t="s">
        <v>136</v>
      </c>
      <c r="F2" s="21" t="s">
        <v>137</v>
      </c>
      <c r="G2" s="21">
        <v>1000000001</v>
      </c>
      <c r="H2" s="21" t="s">
        <v>138</v>
      </c>
      <c r="I2" s="21" t="s">
        <v>139</v>
      </c>
      <c r="J2" s="21" t="s">
        <v>140</v>
      </c>
      <c r="K2" s="21" t="s">
        <v>141</v>
      </c>
      <c r="L2" s="69">
        <v>31944</v>
      </c>
      <c r="M2" s="21" t="s">
        <v>142</v>
      </c>
      <c r="N2" s="21">
        <v>3425481014</v>
      </c>
      <c r="O2" s="21" t="s">
        <v>143</v>
      </c>
      <c r="P2" s="21" t="s">
        <v>144</v>
      </c>
      <c r="Q2" s="21" t="s">
        <v>145</v>
      </c>
      <c r="R2" s="67">
        <v>45566</v>
      </c>
      <c r="S2" s="21" t="s">
        <v>146</v>
      </c>
      <c r="T2" s="21" t="s">
        <v>147</v>
      </c>
      <c r="U2" s="21">
        <v>75000</v>
      </c>
      <c r="V2" s="67">
        <v>45922</v>
      </c>
      <c r="W2" s="12">
        <f>IF(COUNTIF(E$2:E$201,E2)&gt;1,0,1)</f>
        <v>1</v>
      </c>
      <c r="X2" s="12">
        <f>IF(COUNTIF(G$2:G$201,G2)&gt;1,0,1)</f>
        <v>1</v>
      </c>
      <c r="Y2" s="12">
        <f>IF(E2="",0,1)</f>
        <v>1</v>
      </c>
      <c r="Z2" s="12">
        <f>IF(F2="",0,1)</f>
        <v>1</v>
      </c>
      <c r="AA2" s="12">
        <f>IF(G2="",0,1)</f>
        <v>1</v>
      </c>
      <c r="AB2" s="12">
        <f>IF(H2="",0,1)</f>
        <v>1</v>
      </c>
      <c r="AC2" s="12">
        <f>IF(I2="",0,1)</f>
        <v>1</v>
      </c>
      <c r="AD2" s="12">
        <f t="shared" ref="AD2:AO2" si="2">IF(K2="",0,1)</f>
        <v>1</v>
      </c>
      <c r="AE2" s="12">
        <f t="shared" si="2"/>
        <v>1</v>
      </c>
      <c r="AF2" s="12">
        <f t="shared" si="2"/>
        <v>1</v>
      </c>
      <c r="AG2" s="12">
        <f t="shared" si="2"/>
        <v>1</v>
      </c>
      <c r="AH2" s="12">
        <f t="shared" si="2"/>
        <v>1</v>
      </c>
      <c r="AI2" s="12">
        <f t="shared" si="2"/>
        <v>1</v>
      </c>
      <c r="AJ2" s="12">
        <f t="shared" si="2"/>
        <v>1</v>
      </c>
      <c r="AK2" s="12">
        <f t="shared" si="2"/>
        <v>1</v>
      </c>
      <c r="AL2" s="12">
        <f t="shared" si="2"/>
        <v>1</v>
      </c>
      <c r="AM2" s="12">
        <f t="shared" si="2"/>
        <v>1</v>
      </c>
      <c r="AN2" s="12">
        <f t="shared" si="2"/>
        <v>1</v>
      </c>
      <c r="AO2" s="12">
        <f t="shared" si="2"/>
        <v>1</v>
      </c>
      <c r="AP2" s="12">
        <f>IF(AND(LEFT(E2,2)="AF",LEN(E2)=6),1,0)</f>
        <v>1</v>
      </c>
      <c r="AQ2" s="12">
        <f>IF(OR(F2="CC",F2="CE",F2="TI",F2="PAS"),1,0)</f>
        <v>1</v>
      </c>
      <c r="AR2" s="12">
        <f>IF(AND(ISNUMBER(G2),COUNTIF($G:$G,G2)=1),1,0)</f>
        <v>1</v>
      </c>
      <c r="AS2" s="12" cm="1">
        <f t="array" ref="AS2">IF(AND(H2&lt;&gt;"",SUMPRODUCT(--ISNUMBER(FIND({0;1;2;3;4;5;6;7;8;9},H2)))=0),1,0)</f>
        <v>1</v>
      </c>
      <c r="AT2" s="12" cm="1">
        <f t="array" ref="AT2">IF(AND(I2&lt;&gt;"",SUMPRODUCT(--ISNUMBER(FIND({0;1;2;3;4;5;6;7;8;9},I2)))=0),1,0)</f>
        <v>1</v>
      </c>
      <c r="AU2" s="12" cm="1">
        <f t="array" ref="AU2">IF(AND(J2&lt;&gt;"",SUMPRODUCT(--ISNUMBER(FIND({0;1;2;3;4;5;6;7;8;9},J2)))=0),1,0)</f>
        <v>1</v>
      </c>
      <c r="AV2" s="12">
        <f t="shared" ref="AV2:AV20" si="3">IF(OR(ISBLANK(K2),K2=""),1,IF(ISTEXT(K2),1,0))</f>
        <v>1</v>
      </c>
      <c r="AW2" s="12">
        <f ca="1">IF(AND(ISNUMBER(L2),L2&lt;=TODAY()),1,0)</f>
        <v>1</v>
      </c>
      <c r="AX2" s="12">
        <f>IF(AND(ISNUMBER(SEARCH("@",M2)),ISNUMBER(SEARCH(".",M2,SEARCH("@",M2)+2)),NOT(ISNUMBER(SEARCH(" ",M2)))),1,0)</f>
        <v>1</v>
      </c>
      <c r="AY2" s="12">
        <f>IF(AND(ISNUMBER(N2),LEN(N2)=10),1,0)</f>
        <v>1</v>
      </c>
      <c r="AZ2" s="12">
        <f>IF(LEN(TRIM(O2))&gt;=10,1,0)</f>
        <v>1</v>
      </c>
      <c r="BA2" s="12">
        <f>IF(OR(ISBLANK(O2),O2=""),1,IF(ISTEXT(O2),1,0))</f>
        <v>1</v>
      </c>
      <c r="BB2" s="12">
        <f>IF(OR(ISBLANK(P2),P2=""),1,IF(ISTEXT(P2),1,0))</f>
        <v>1</v>
      </c>
      <c r="BC2" s="12">
        <f ca="1">IF(AND(ISNUMBER(R2),R2&lt;=TODAY()),1,0)</f>
        <v>1</v>
      </c>
      <c r="BD2" s="12">
        <f>IF(OR(ISBLANK(S2),S2=""),1,IF(ISTEXT(S2),1,0))</f>
        <v>1</v>
      </c>
      <c r="BE2" s="12">
        <f>IF(OR(ISBLANK(T2),T2=""),1,IF(ISTEXT(T2),1,0))</f>
        <v>1</v>
      </c>
      <c r="BF2" s="12">
        <f>IF(AND(ISNUMBER(U2),U2&gt;0),1,0)</f>
        <v>1</v>
      </c>
      <c r="BG2" s="12">
        <f ca="1">IF(AND(ISNUMBER(V2),V2&lt;=TODAY()),1,0)</f>
        <v>1</v>
      </c>
    </row>
    <row r="3" spans="1:59" ht="15" x14ac:dyDescent="0.2">
      <c r="A3" s="19">
        <f t="shared" ref="A3:A66" si="4">IF(AND(W3=1,X3=1),1,0)</f>
        <v>1</v>
      </c>
      <c r="B3" s="20">
        <f t="shared" ref="B3:B66" si="5">IF(AND(Y3=1,Z3=1,AA3=1,AB3=1,AC3=1,AD3=1,AE3=1,AF3=1,AG3=1,AH3=1,AI3=1,AJ3=1,AK3=1,AL3=1,AM3=1,AN3=1,AO3=1),1,0)</f>
        <v>1</v>
      </c>
      <c r="C3" s="20">
        <f t="shared" ref="C3:C66" ca="1" si="6">IF(AND(AP3=1,AQ3=1,AR3=1,AS3=1,AT3=1,AU3=1,AV3=1,AW3=1,AX3=1,AY3=1,AZ3=1,BA3=1,BB3=1,BC3=1,BD3=1,BE3=1,BF3=1,BG3=1),1,0)</f>
        <v>1</v>
      </c>
      <c r="D3" s="50">
        <f t="shared" ref="D3:D20" ca="1" si="7">IF(SUM(A3:C3)&lt;3,1,0)</f>
        <v>0</v>
      </c>
      <c r="E3" s="21" t="s">
        <v>148</v>
      </c>
      <c r="F3" s="21" t="s">
        <v>149</v>
      </c>
      <c r="G3" s="21">
        <v>1000000002</v>
      </c>
      <c r="H3" s="21" t="s">
        <v>150</v>
      </c>
      <c r="I3" s="21" t="s">
        <v>151</v>
      </c>
      <c r="J3" s="21" t="s">
        <v>152</v>
      </c>
      <c r="K3" s="21" t="s">
        <v>141</v>
      </c>
      <c r="L3" s="69">
        <v>34253</v>
      </c>
      <c r="M3" s="21" t="s">
        <v>153</v>
      </c>
      <c r="N3" s="21">
        <v>3796270794</v>
      </c>
      <c r="O3" s="21" t="s">
        <v>154</v>
      </c>
      <c r="P3" s="21" t="s">
        <v>155</v>
      </c>
      <c r="Q3" s="21" t="s">
        <v>156</v>
      </c>
      <c r="R3" s="67">
        <v>45506</v>
      </c>
      <c r="S3" s="21" t="s">
        <v>157</v>
      </c>
      <c r="T3" s="21" t="s">
        <v>158</v>
      </c>
      <c r="U3" s="21">
        <v>90000</v>
      </c>
      <c r="V3" s="67">
        <v>45765</v>
      </c>
      <c r="W3" s="12">
        <f t="shared" ref="W3:W66" si="8">IF(COUNTIF(E$2:E$201,E3)&gt;1,0,1)</f>
        <v>1</v>
      </c>
      <c r="X3" s="12">
        <f t="shared" ref="X3:X66" si="9">IF(COUNTIF(G$2:G$201,G3)&gt;1,0,1)</f>
        <v>1</v>
      </c>
      <c r="Y3" s="12">
        <f t="shared" ref="Y3:Y66" si="10">IF(E3="",0,1)</f>
        <v>1</v>
      </c>
      <c r="Z3" s="12">
        <f t="shared" ref="Z3:Z66" si="11">IF(F3="",0,1)</f>
        <v>1</v>
      </c>
      <c r="AA3" s="12">
        <f t="shared" ref="AA3:AA66" si="12">IF(G3="",0,1)</f>
        <v>1</v>
      </c>
      <c r="AB3" s="12">
        <f t="shared" ref="AB3:AB66" si="13">IF(H3="",0,1)</f>
        <v>1</v>
      </c>
      <c r="AC3" s="12">
        <f t="shared" ref="AC3:AC66" si="14">IF(I3="",0,1)</f>
        <v>1</v>
      </c>
      <c r="AD3" s="12">
        <f t="shared" ref="AD3:AD20" si="15">IF(K3="",0,1)</f>
        <v>1</v>
      </c>
      <c r="AE3" s="12">
        <f t="shared" ref="AE3:AE20" si="16">IF(L3="",0,1)</f>
        <v>1</v>
      </c>
      <c r="AF3" s="12">
        <f t="shared" ref="AF3:AF20" si="17">IF(M3="",0,1)</f>
        <v>1</v>
      </c>
      <c r="AG3" s="12">
        <f t="shared" ref="AG3:AG20" si="18">IF(N3="",0,1)</f>
        <v>1</v>
      </c>
      <c r="AH3" s="12">
        <f t="shared" ref="AH3:AH20" si="19">IF(O3="",0,1)</f>
        <v>1</v>
      </c>
      <c r="AI3" s="12">
        <f t="shared" ref="AI3:AI20" si="20">IF(P3="",0,1)</f>
        <v>1</v>
      </c>
      <c r="AJ3" s="12">
        <f t="shared" ref="AJ3:AJ20" si="21">IF(Q3="",0,1)</f>
        <v>1</v>
      </c>
      <c r="AK3" s="12">
        <f t="shared" ref="AK3:AK20" si="22">IF(R3="",0,1)</f>
        <v>1</v>
      </c>
      <c r="AL3" s="12">
        <f t="shared" ref="AL3:AL20" si="23">IF(S3="",0,1)</f>
        <v>1</v>
      </c>
      <c r="AM3" s="12">
        <f t="shared" ref="AM3:AM66" si="24">IF(T3="",0,1)</f>
        <v>1</v>
      </c>
      <c r="AN3" s="12">
        <f t="shared" ref="AN3:AN66" si="25">IF(U3="",0,1)</f>
        <v>1</v>
      </c>
      <c r="AO3" s="12">
        <f t="shared" ref="AO3:AO66" si="26">IF(V3="",0,1)</f>
        <v>1</v>
      </c>
      <c r="AP3" s="12">
        <f t="shared" ref="AP3:AP66" si="27">IF(AND(LEFT(E3,2)="AF",LEN(E3)=6),1,0)</f>
        <v>1</v>
      </c>
      <c r="AQ3" s="12">
        <f t="shared" ref="AQ3:AQ66" si="28">IF(OR(F3="CC",F3="CE",F3="TI",F3="PAS"),1,0)</f>
        <v>1</v>
      </c>
      <c r="AR3" s="12">
        <f t="shared" ref="AR3:AR66" si="29">IF(AND(ISNUMBER(G3),COUNTIF($G:$G,G3)=1),1,0)</f>
        <v>1</v>
      </c>
      <c r="AS3" s="12" cm="1">
        <f t="array" ref="AS3">IF(AND(H3&lt;&gt;"",SUMPRODUCT(--ISNUMBER(FIND({0;1;2;3;4;5;6;7;8;9},H3)))=0),1,0)</f>
        <v>1</v>
      </c>
      <c r="AT3" s="12" cm="1">
        <f t="array" ref="AT3">IF(AND(I3&lt;&gt;"",SUMPRODUCT(--ISNUMBER(FIND({0;1;2;3;4;5;6;7;8;9},I3)))=0),1,0)</f>
        <v>1</v>
      </c>
      <c r="AU3" s="12" cm="1">
        <f t="array" ref="AU3">IF(AND(J3&lt;&gt;"",SUMPRODUCT(--ISNUMBER(FIND({0;1;2;3;4;5;6;7;8;9},J3)))=0),1,0)</f>
        <v>1</v>
      </c>
      <c r="AV3" s="12">
        <f t="shared" si="3"/>
        <v>1</v>
      </c>
      <c r="AW3" s="12">
        <f t="shared" ref="AW3:AW66" ca="1" si="30">IF(AND(ISNUMBER(L3),L3&lt;=TODAY()),1,0)</f>
        <v>1</v>
      </c>
      <c r="AX3" s="12">
        <f t="shared" ref="AX3:AX66" si="31">IF(AND(ISNUMBER(SEARCH("@",M3)),ISNUMBER(SEARCH(".",M3,SEARCH("@",M3)+2)),NOT(ISNUMBER(SEARCH(" ",M3)))),1,0)</f>
        <v>1</v>
      </c>
      <c r="AY3" s="12">
        <f t="shared" ref="AY3:AY66" si="32">IF(AND(ISNUMBER(N3),LEN(N3)=10),1,0)</f>
        <v>1</v>
      </c>
      <c r="AZ3" s="12">
        <f t="shared" ref="AZ3:AZ66" si="33">IF(LEN(TRIM(O3))&gt;=10,1,0)</f>
        <v>1</v>
      </c>
      <c r="BA3" s="12">
        <f t="shared" ref="BA3:BA66" si="34">IF(OR(ISBLANK(O3),O3=""),1,IF(ISTEXT(O3),1,0))</f>
        <v>1</v>
      </c>
      <c r="BB3" s="12">
        <f t="shared" ref="BB3:BB66" si="35">IF(OR(ISBLANK(P3),P3=""),1,IF(ISTEXT(P3),1,0))</f>
        <v>1</v>
      </c>
      <c r="BC3" s="12">
        <f t="shared" ref="BC3:BC66" ca="1" si="36">IF(AND(ISNUMBER(R3),R3&lt;=TODAY()),1,0)</f>
        <v>1</v>
      </c>
      <c r="BD3" s="12">
        <f t="shared" ref="BD3:BD66" si="37">IF(OR(ISBLANK(S3),S3=""),1,IF(ISTEXT(S3),1,0))</f>
        <v>1</v>
      </c>
      <c r="BE3" s="12">
        <f t="shared" ref="BE3:BE66" si="38">IF(OR(ISBLANK(T3),T3=""),1,IF(ISTEXT(T3),1,0))</f>
        <v>1</v>
      </c>
      <c r="BF3" s="12">
        <f t="shared" ref="BF3:BF66" si="39">IF(AND(ISNUMBER(U3),U3&gt;0),1,0)</f>
        <v>1</v>
      </c>
      <c r="BG3" s="12">
        <f t="shared" ref="BG3:BG66" ca="1" si="40">IF(AND(ISNUMBER(V3),V3&lt;=TODAY()),1,0)</f>
        <v>1</v>
      </c>
    </row>
    <row r="4" spans="1:59" ht="15" x14ac:dyDescent="0.2">
      <c r="A4" s="19">
        <f t="shared" si="4"/>
        <v>1</v>
      </c>
      <c r="B4" s="20">
        <f t="shared" si="5"/>
        <v>1</v>
      </c>
      <c r="C4" s="20">
        <f t="shared" ca="1" si="6"/>
        <v>1</v>
      </c>
      <c r="D4" s="50">
        <f t="shared" ca="1" si="7"/>
        <v>0</v>
      </c>
      <c r="E4" s="21" t="s">
        <v>159</v>
      </c>
      <c r="F4" s="21" t="s">
        <v>160</v>
      </c>
      <c r="G4" s="21">
        <v>1000000003</v>
      </c>
      <c r="H4" s="21" t="s">
        <v>161</v>
      </c>
      <c r="I4" s="21" t="s">
        <v>162</v>
      </c>
      <c r="J4" s="21" t="s">
        <v>140</v>
      </c>
      <c r="K4" s="21" t="s">
        <v>141</v>
      </c>
      <c r="L4" s="69">
        <v>33163</v>
      </c>
      <c r="M4" s="21" t="s">
        <v>163</v>
      </c>
      <c r="N4" s="21">
        <v>3343020752</v>
      </c>
      <c r="O4" s="21" t="s">
        <v>164</v>
      </c>
      <c r="P4" s="21" t="s">
        <v>165</v>
      </c>
      <c r="Q4" s="21" t="s">
        <v>156</v>
      </c>
      <c r="R4" s="67">
        <v>45621</v>
      </c>
      <c r="S4" s="21" t="s">
        <v>157</v>
      </c>
      <c r="T4" s="21" t="s">
        <v>166</v>
      </c>
      <c r="U4" s="21">
        <v>90000</v>
      </c>
      <c r="V4" s="67">
        <v>45902</v>
      </c>
      <c r="W4" s="12">
        <f t="shared" si="8"/>
        <v>1</v>
      </c>
      <c r="X4" s="12">
        <f t="shared" si="9"/>
        <v>1</v>
      </c>
      <c r="Y4" s="12">
        <f t="shared" si="10"/>
        <v>1</v>
      </c>
      <c r="Z4" s="12">
        <f t="shared" si="11"/>
        <v>1</v>
      </c>
      <c r="AA4" s="12">
        <f t="shared" si="12"/>
        <v>1</v>
      </c>
      <c r="AB4" s="12">
        <f t="shared" si="13"/>
        <v>1</v>
      </c>
      <c r="AC4" s="12">
        <f t="shared" si="14"/>
        <v>1</v>
      </c>
      <c r="AD4" s="12">
        <f t="shared" si="15"/>
        <v>1</v>
      </c>
      <c r="AE4" s="12">
        <f t="shared" si="16"/>
        <v>1</v>
      </c>
      <c r="AF4" s="12">
        <f t="shared" si="17"/>
        <v>1</v>
      </c>
      <c r="AG4" s="12">
        <f t="shared" si="18"/>
        <v>1</v>
      </c>
      <c r="AH4" s="12">
        <f t="shared" si="19"/>
        <v>1</v>
      </c>
      <c r="AI4" s="12">
        <f t="shared" si="20"/>
        <v>1</v>
      </c>
      <c r="AJ4" s="12">
        <f t="shared" si="21"/>
        <v>1</v>
      </c>
      <c r="AK4" s="12">
        <f t="shared" si="22"/>
        <v>1</v>
      </c>
      <c r="AL4" s="12">
        <f t="shared" si="23"/>
        <v>1</v>
      </c>
      <c r="AM4" s="12">
        <f t="shared" si="24"/>
        <v>1</v>
      </c>
      <c r="AN4" s="12">
        <f t="shared" si="25"/>
        <v>1</v>
      </c>
      <c r="AO4" s="12">
        <f t="shared" si="26"/>
        <v>1</v>
      </c>
      <c r="AP4" s="12">
        <f t="shared" si="27"/>
        <v>1</v>
      </c>
      <c r="AQ4" s="12">
        <f t="shared" si="28"/>
        <v>1</v>
      </c>
      <c r="AR4" s="12">
        <f t="shared" si="29"/>
        <v>1</v>
      </c>
      <c r="AS4" s="12" cm="1">
        <f t="array" ref="AS4">IF(AND(H4&lt;&gt;"",SUMPRODUCT(--ISNUMBER(FIND({0;1;2;3;4;5;6;7;8;9},H4)))=0),1,0)</f>
        <v>1</v>
      </c>
      <c r="AT4" s="12" cm="1">
        <f t="array" ref="AT4">IF(AND(I4&lt;&gt;"",SUMPRODUCT(--ISNUMBER(FIND({0;1;2;3;4;5;6;7;8;9},I4)))=0),1,0)</f>
        <v>1</v>
      </c>
      <c r="AU4" s="12" cm="1">
        <f t="array" ref="AU4">IF(AND(J4&lt;&gt;"",SUMPRODUCT(--ISNUMBER(FIND({0;1;2;3;4;5;6;7;8;9},J4)))=0),1,0)</f>
        <v>1</v>
      </c>
      <c r="AV4" s="12">
        <f t="shared" si="3"/>
        <v>1</v>
      </c>
      <c r="AW4" s="12">
        <f t="shared" ca="1" si="30"/>
        <v>1</v>
      </c>
      <c r="AX4" s="12">
        <f t="shared" si="31"/>
        <v>1</v>
      </c>
      <c r="AY4" s="12">
        <f t="shared" si="32"/>
        <v>1</v>
      </c>
      <c r="AZ4" s="12">
        <f t="shared" si="33"/>
        <v>1</v>
      </c>
      <c r="BA4" s="12">
        <f t="shared" si="34"/>
        <v>1</v>
      </c>
      <c r="BB4" s="12">
        <f t="shared" si="35"/>
        <v>1</v>
      </c>
      <c r="BC4" s="12">
        <f t="shared" ca="1" si="36"/>
        <v>1</v>
      </c>
      <c r="BD4" s="12">
        <f t="shared" si="37"/>
        <v>1</v>
      </c>
      <c r="BE4" s="12">
        <f t="shared" si="38"/>
        <v>1</v>
      </c>
      <c r="BF4" s="12">
        <f t="shared" si="39"/>
        <v>1</v>
      </c>
      <c r="BG4" s="12">
        <f t="shared" ca="1" si="40"/>
        <v>1</v>
      </c>
    </row>
    <row r="5" spans="1:59" ht="15" x14ac:dyDescent="0.2">
      <c r="A5" s="19">
        <f t="shared" si="4"/>
        <v>1</v>
      </c>
      <c r="B5" s="20">
        <f t="shared" si="5"/>
        <v>1</v>
      </c>
      <c r="C5" s="20">
        <f t="shared" ca="1" si="6"/>
        <v>0</v>
      </c>
      <c r="D5" s="50">
        <f t="shared" ca="1" si="7"/>
        <v>1</v>
      </c>
      <c r="E5" s="21" t="s">
        <v>167</v>
      </c>
      <c r="F5" s="21" t="s">
        <v>149</v>
      </c>
      <c r="G5" s="21">
        <v>1000000004</v>
      </c>
      <c r="H5" s="21" t="s">
        <v>138</v>
      </c>
      <c r="I5" s="21" t="s">
        <v>168</v>
      </c>
      <c r="J5" s="21" t="s">
        <v>169</v>
      </c>
      <c r="K5" s="21" t="s">
        <v>141</v>
      </c>
      <c r="L5" s="69">
        <v>35534</v>
      </c>
      <c r="M5" s="21" t="s">
        <v>170</v>
      </c>
      <c r="N5" s="21">
        <v>3806512580</v>
      </c>
      <c r="O5" s="21" t="s">
        <v>171</v>
      </c>
      <c r="P5" s="21" t="s">
        <v>172</v>
      </c>
      <c r="Q5" s="21" t="s">
        <v>173</v>
      </c>
      <c r="R5" s="67">
        <v>46105</v>
      </c>
      <c r="S5" s="21" t="s">
        <v>174</v>
      </c>
      <c r="T5" s="21" t="s">
        <v>158</v>
      </c>
      <c r="U5" s="21">
        <v>85000</v>
      </c>
      <c r="V5" s="67">
        <v>46447</v>
      </c>
      <c r="W5" s="12">
        <f t="shared" si="8"/>
        <v>1</v>
      </c>
      <c r="X5" s="12">
        <f t="shared" si="9"/>
        <v>1</v>
      </c>
      <c r="Y5" s="12">
        <f t="shared" si="10"/>
        <v>1</v>
      </c>
      <c r="Z5" s="12">
        <f t="shared" si="11"/>
        <v>1</v>
      </c>
      <c r="AA5" s="12">
        <f t="shared" si="12"/>
        <v>1</v>
      </c>
      <c r="AB5" s="12">
        <f t="shared" si="13"/>
        <v>1</v>
      </c>
      <c r="AC5" s="12">
        <f t="shared" si="14"/>
        <v>1</v>
      </c>
      <c r="AD5" s="12">
        <f t="shared" si="15"/>
        <v>1</v>
      </c>
      <c r="AE5" s="12">
        <f t="shared" si="16"/>
        <v>1</v>
      </c>
      <c r="AF5" s="12">
        <f t="shared" si="17"/>
        <v>1</v>
      </c>
      <c r="AG5" s="12">
        <f t="shared" si="18"/>
        <v>1</v>
      </c>
      <c r="AH5" s="12">
        <f t="shared" si="19"/>
        <v>1</v>
      </c>
      <c r="AI5" s="12">
        <f t="shared" si="20"/>
        <v>1</v>
      </c>
      <c r="AJ5" s="12">
        <f t="shared" si="21"/>
        <v>1</v>
      </c>
      <c r="AK5" s="12">
        <f t="shared" si="22"/>
        <v>1</v>
      </c>
      <c r="AL5" s="12">
        <f t="shared" si="23"/>
        <v>1</v>
      </c>
      <c r="AM5" s="12">
        <f t="shared" si="24"/>
        <v>1</v>
      </c>
      <c r="AN5" s="12">
        <f t="shared" si="25"/>
        <v>1</v>
      </c>
      <c r="AO5" s="12">
        <f t="shared" si="26"/>
        <v>1</v>
      </c>
      <c r="AP5" s="12">
        <f t="shared" si="27"/>
        <v>1</v>
      </c>
      <c r="AQ5" s="12">
        <f t="shared" si="28"/>
        <v>1</v>
      </c>
      <c r="AR5" s="12">
        <f t="shared" si="29"/>
        <v>1</v>
      </c>
      <c r="AS5" s="12" cm="1">
        <f t="array" ref="AS5">IF(AND(H5&lt;&gt;"",SUMPRODUCT(--ISNUMBER(FIND({0;1;2;3;4;5;6;7;8;9},H5)))=0),1,0)</f>
        <v>1</v>
      </c>
      <c r="AT5" s="12" cm="1">
        <f t="array" ref="AT5">IF(AND(I5&lt;&gt;"",SUMPRODUCT(--ISNUMBER(FIND({0;1;2;3;4;5;6;7;8;9},I5)))=0),1,0)</f>
        <v>1</v>
      </c>
      <c r="AU5" s="12" cm="1">
        <f t="array" ref="AU5">IF(AND(J5&lt;&gt;"",SUMPRODUCT(--ISNUMBER(FIND({0;1;2;3;4;5;6;7;8;9},J5)))=0),1,0)</f>
        <v>1</v>
      </c>
      <c r="AV5" s="12">
        <f t="shared" si="3"/>
        <v>1</v>
      </c>
      <c r="AW5" s="12">
        <f t="shared" ca="1" si="30"/>
        <v>1</v>
      </c>
      <c r="AX5" s="12">
        <f t="shared" si="31"/>
        <v>1</v>
      </c>
      <c r="AY5" s="12">
        <f t="shared" si="32"/>
        <v>1</v>
      </c>
      <c r="AZ5" s="12">
        <f t="shared" si="33"/>
        <v>1</v>
      </c>
      <c r="BA5" s="12">
        <f t="shared" si="34"/>
        <v>1</v>
      </c>
      <c r="BB5" s="12">
        <f t="shared" si="35"/>
        <v>1</v>
      </c>
      <c r="BC5" s="12">
        <f t="shared" ca="1" si="36"/>
        <v>1</v>
      </c>
      <c r="BD5" s="12">
        <f t="shared" si="37"/>
        <v>1</v>
      </c>
      <c r="BE5" s="12">
        <f t="shared" si="38"/>
        <v>1</v>
      </c>
      <c r="BF5" s="12">
        <f t="shared" si="39"/>
        <v>1</v>
      </c>
      <c r="BG5" s="12">
        <f t="shared" ca="1" si="40"/>
        <v>0</v>
      </c>
    </row>
    <row r="6" spans="1:59" ht="15" x14ac:dyDescent="0.2">
      <c r="A6" s="19">
        <f t="shared" si="4"/>
        <v>1</v>
      </c>
      <c r="B6" s="20">
        <f t="shared" si="5"/>
        <v>1</v>
      </c>
      <c r="C6" s="20">
        <f t="shared" ca="1" si="6"/>
        <v>1</v>
      </c>
      <c r="D6" s="50">
        <f t="shared" ca="1" si="7"/>
        <v>0</v>
      </c>
      <c r="E6" s="21" t="s">
        <v>175</v>
      </c>
      <c r="F6" s="21" t="s">
        <v>137</v>
      </c>
      <c r="G6" s="21">
        <v>1000000005</v>
      </c>
      <c r="H6" s="21" t="s">
        <v>176</v>
      </c>
      <c r="I6" s="21" t="s">
        <v>169</v>
      </c>
      <c r="J6" s="21" t="s">
        <v>169</v>
      </c>
      <c r="K6" s="21" t="s">
        <v>141</v>
      </c>
      <c r="L6" s="69">
        <v>37322</v>
      </c>
      <c r="M6" s="21" t="s">
        <v>177</v>
      </c>
      <c r="N6" s="21">
        <v>3923249330</v>
      </c>
      <c r="O6" s="21" t="s">
        <v>178</v>
      </c>
      <c r="P6" s="21" t="s">
        <v>179</v>
      </c>
      <c r="Q6" s="21" t="s">
        <v>180</v>
      </c>
      <c r="R6" s="67">
        <v>45010</v>
      </c>
      <c r="S6" s="21" t="s">
        <v>157</v>
      </c>
      <c r="T6" s="21" t="s">
        <v>166</v>
      </c>
      <c r="U6" s="21">
        <v>75000</v>
      </c>
      <c r="V6" s="67">
        <v>45256</v>
      </c>
      <c r="W6" s="12">
        <f t="shared" si="8"/>
        <v>1</v>
      </c>
      <c r="X6" s="12">
        <f t="shared" si="9"/>
        <v>1</v>
      </c>
      <c r="Y6" s="12">
        <f t="shared" si="10"/>
        <v>1</v>
      </c>
      <c r="Z6" s="12">
        <f t="shared" si="11"/>
        <v>1</v>
      </c>
      <c r="AA6" s="12">
        <f t="shared" si="12"/>
        <v>1</v>
      </c>
      <c r="AB6" s="12">
        <f t="shared" si="13"/>
        <v>1</v>
      </c>
      <c r="AC6" s="12">
        <f t="shared" si="14"/>
        <v>1</v>
      </c>
      <c r="AD6" s="12">
        <f t="shared" si="15"/>
        <v>1</v>
      </c>
      <c r="AE6" s="12">
        <f t="shared" si="16"/>
        <v>1</v>
      </c>
      <c r="AF6" s="12">
        <f t="shared" si="17"/>
        <v>1</v>
      </c>
      <c r="AG6" s="12">
        <f t="shared" si="18"/>
        <v>1</v>
      </c>
      <c r="AH6" s="12">
        <f t="shared" si="19"/>
        <v>1</v>
      </c>
      <c r="AI6" s="12">
        <f t="shared" si="20"/>
        <v>1</v>
      </c>
      <c r="AJ6" s="12">
        <f t="shared" si="21"/>
        <v>1</v>
      </c>
      <c r="AK6" s="12">
        <f t="shared" si="22"/>
        <v>1</v>
      </c>
      <c r="AL6" s="12">
        <f t="shared" si="23"/>
        <v>1</v>
      </c>
      <c r="AM6" s="12">
        <f t="shared" si="24"/>
        <v>1</v>
      </c>
      <c r="AN6" s="12">
        <f t="shared" si="25"/>
        <v>1</v>
      </c>
      <c r="AO6" s="12">
        <f t="shared" si="26"/>
        <v>1</v>
      </c>
      <c r="AP6" s="12">
        <f t="shared" si="27"/>
        <v>1</v>
      </c>
      <c r="AQ6" s="12">
        <f t="shared" si="28"/>
        <v>1</v>
      </c>
      <c r="AR6" s="12">
        <f t="shared" si="29"/>
        <v>1</v>
      </c>
      <c r="AS6" s="12" cm="1">
        <f t="array" ref="AS6">IF(AND(H6&lt;&gt;"",SUMPRODUCT(--ISNUMBER(FIND({0;1;2;3;4;5;6;7;8;9},H6)))=0),1,0)</f>
        <v>1</v>
      </c>
      <c r="AT6" s="12" cm="1">
        <f t="array" ref="AT6">IF(AND(I6&lt;&gt;"",SUMPRODUCT(--ISNUMBER(FIND({0;1;2;3;4;5;6;7;8;9},I6)))=0),1,0)</f>
        <v>1</v>
      </c>
      <c r="AU6" s="12" cm="1">
        <f t="array" ref="AU6">IF(AND(J6&lt;&gt;"",SUMPRODUCT(--ISNUMBER(FIND({0;1;2;3;4;5;6;7;8;9},J6)))=0),1,0)</f>
        <v>1</v>
      </c>
      <c r="AV6" s="12">
        <f t="shared" si="3"/>
        <v>1</v>
      </c>
      <c r="AW6" s="12">
        <f t="shared" ca="1" si="30"/>
        <v>1</v>
      </c>
      <c r="AX6" s="12">
        <f t="shared" si="31"/>
        <v>1</v>
      </c>
      <c r="AY6" s="12">
        <f t="shared" si="32"/>
        <v>1</v>
      </c>
      <c r="AZ6" s="12">
        <f t="shared" si="33"/>
        <v>1</v>
      </c>
      <c r="BA6" s="12">
        <f t="shared" si="34"/>
        <v>1</v>
      </c>
      <c r="BB6" s="12">
        <f t="shared" si="35"/>
        <v>1</v>
      </c>
      <c r="BC6" s="12">
        <f t="shared" ca="1" si="36"/>
        <v>1</v>
      </c>
      <c r="BD6" s="12">
        <f t="shared" si="37"/>
        <v>1</v>
      </c>
      <c r="BE6" s="12">
        <f t="shared" si="38"/>
        <v>1</v>
      </c>
      <c r="BF6" s="12">
        <f t="shared" si="39"/>
        <v>1</v>
      </c>
      <c r="BG6" s="12">
        <f t="shared" ca="1" si="40"/>
        <v>1</v>
      </c>
    </row>
    <row r="7" spans="1:59" ht="15" x14ac:dyDescent="0.2">
      <c r="A7" s="19">
        <f t="shared" si="4"/>
        <v>1</v>
      </c>
      <c r="B7" s="20">
        <f t="shared" si="5"/>
        <v>1</v>
      </c>
      <c r="C7" s="20">
        <f t="shared" ca="1" si="6"/>
        <v>1</v>
      </c>
      <c r="D7" s="50">
        <f t="shared" ca="1" si="7"/>
        <v>0</v>
      </c>
      <c r="E7" s="21" t="s">
        <v>181</v>
      </c>
      <c r="F7" s="21" t="s">
        <v>149</v>
      </c>
      <c r="G7" s="21">
        <v>1000000006</v>
      </c>
      <c r="H7" s="21" t="s">
        <v>182</v>
      </c>
      <c r="I7" s="21" t="s">
        <v>183</v>
      </c>
      <c r="J7" s="21" t="s">
        <v>184</v>
      </c>
      <c r="K7" s="21" t="s">
        <v>185</v>
      </c>
      <c r="L7" s="69">
        <v>35956</v>
      </c>
      <c r="M7" s="21" t="s">
        <v>186</v>
      </c>
      <c r="N7" s="21">
        <v>3795548752</v>
      </c>
      <c r="O7" s="21" t="s">
        <v>187</v>
      </c>
      <c r="P7" s="21" t="s">
        <v>144</v>
      </c>
      <c r="Q7" s="21" t="s">
        <v>145</v>
      </c>
      <c r="R7" s="67">
        <v>45932</v>
      </c>
      <c r="S7" s="21" t="s">
        <v>174</v>
      </c>
      <c r="T7" s="21" t="s">
        <v>147</v>
      </c>
      <c r="U7" s="21">
        <v>90000</v>
      </c>
      <c r="V7" s="67">
        <v>46011</v>
      </c>
      <c r="W7" s="12">
        <f t="shared" si="8"/>
        <v>1</v>
      </c>
      <c r="X7" s="12">
        <f t="shared" si="9"/>
        <v>1</v>
      </c>
      <c r="Y7" s="12">
        <f t="shared" si="10"/>
        <v>1</v>
      </c>
      <c r="Z7" s="12">
        <f t="shared" si="11"/>
        <v>1</v>
      </c>
      <c r="AA7" s="12">
        <f t="shared" si="12"/>
        <v>1</v>
      </c>
      <c r="AB7" s="12">
        <f t="shared" si="13"/>
        <v>1</v>
      </c>
      <c r="AC7" s="12">
        <f t="shared" si="14"/>
        <v>1</v>
      </c>
      <c r="AD7" s="12">
        <f t="shared" si="15"/>
        <v>1</v>
      </c>
      <c r="AE7" s="12">
        <f t="shared" si="16"/>
        <v>1</v>
      </c>
      <c r="AF7" s="12">
        <f t="shared" si="17"/>
        <v>1</v>
      </c>
      <c r="AG7" s="12">
        <f t="shared" si="18"/>
        <v>1</v>
      </c>
      <c r="AH7" s="12">
        <f t="shared" si="19"/>
        <v>1</v>
      </c>
      <c r="AI7" s="12">
        <f t="shared" si="20"/>
        <v>1</v>
      </c>
      <c r="AJ7" s="12">
        <f t="shared" si="21"/>
        <v>1</v>
      </c>
      <c r="AK7" s="12">
        <f t="shared" si="22"/>
        <v>1</v>
      </c>
      <c r="AL7" s="12">
        <f t="shared" si="23"/>
        <v>1</v>
      </c>
      <c r="AM7" s="12">
        <f t="shared" si="24"/>
        <v>1</v>
      </c>
      <c r="AN7" s="12">
        <f t="shared" si="25"/>
        <v>1</v>
      </c>
      <c r="AO7" s="12">
        <f t="shared" si="26"/>
        <v>1</v>
      </c>
      <c r="AP7" s="12">
        <f t="shared" si="27"/>
        <v>1</v>
      </c>
      <c r="AQ7" s="12">
        <f t="shared" si="28"/>
        <v>1</v>
      </c>
      <c r="AR7" s="12">
        <f t="shared" si="29"/>
        <v>1</v>
      </c>
      <c r="AS7" s="12" cm="1">
        <f t="array" ref="AS7">IF(AND(H7&lt;&gt;"",SUMPRODUCT(--ISNUMBER(FIND({0;1;2;3;4;5;6;7;8;9},H7)))=0),1,0)</f>
        <v>1</v>
      </c>
      <c r="AT7" s="12" cm="1">
        <f t="array" ref="AT7">IF(AND(I7&lt;&gt;"",SUMPRODUCT(--ISNUMBER(FIND({0;1;2;3;4;5;6;7;8;9},I7)))=0),1,0)</f>
        <v>1</v>
      </c>
      <c r="AU7" s="12" cm="1">
        <f t="array" ref="AU7">IF(AND(J7&lt;&gt;"",SUMPRODUCT(--ISNUMBER(FIND({0;1;2;3;4;5;6;7;8;9},J7)))=0),1,0)</f>
        <v>1</v>
      </c>
      <c r="AV7" s="12">
        <f t="shared" si="3"/>
        <v>1</v>
      </c>
      <c r="AW7" s="12">
        <f t="shared" ca="1" si="30"/>
        <v>1</v>
      </c>
      <c r="AX7" s="12">
        <f t="shared" si="31"/>
        <v>1</v>
      </c>
      <c r="AY7" s="12">
        <f t="shared" si="32"/>
        <v>1</v>
      </c>
      <c r="AZ7" s="12">
        <f t="shared" si="33"/>
        <v>1</v>
      </c>
      <c r="BA7" s="12">
        <f t="shared" si="34"/>
        <v>1</v>
      </c>
      <c r="BB7" s="12">
        <f t="shared" si="35"/>
        <v>1</v>
      </c>
      <c r="BC7" s="12">
        <f t="shared" ca="1" si="36"/>
        <v>1</v>
      </c>
      <c r="BD7" s="12">
        <f t="shared" si="37"/>
        <v>1</v>
      </c>
      <c r="BE7" s="12">
        <f t="shared" si="38"/>
        <v>1</v>
      </c>
      <c r="BF7" s="12">
        <f t="shared" si="39"/>
        <v>1</v>
      </c>
      <c r="BG7" s="12">
        <f t="shared" ca="1" si="40"/>
        <v>1</v>
      </c>
    </row>
    <row r="8" spans="1:59" ht="15" x14ac:dyDescent="0.2">
      <c r="A8" s="19">
        <f t="shared" si="4"/>
        <v>1</v>
      </c>
      <c r="B8" s="20">
        <f t="shared" si="5"/>
        <v>1</v>
      </c>
      <c r="C8" s="20">
        <f t="shared" ca="1" si="6"/>
        <v>0</v>
      </c>
      <c r="D8" s="50">
        <f t="shared" ca="1" si="7"/>
        <v>1</v>
      </c>
      <c r="E8" s="21" t="s">
        <v>188</v>
      </c>
      <c r="F8" s="21" t="s">
        <v>137</v>
      </c>
      <c r="G8" s="21">
        <v>1000000007</v>
      </c>
      <c r="H8" s="21" t="s">
        <v>189</v>
      </c>
      <c r="I8" s="21" t="s">
        <v>169</v>
      </c>
      <c r="J8" s="21" t="s">
        <v>183</v>
      </c>
      <c r="K8" s="21" t="s">
        <v>185</v>
      </c>
      <c r="L8" s="69">
        <v>31252</v>
      </c>
      <c r="M8" s="21" t="s">
        <v>190</v>
      </c>
      <c r="N8" s="21">
        <v>3648451309</v>
      </c>
      <c r="O8" s="21" t="s">
        <v>191</v>
      </c>
      <c r="P8" s="21" t="s">
        <v>179</v>
      </c>
      <c r="Q8" s="21" t="s">
        <v>180</v>
      </c>
      <c r="R8" s="67">
        <v>45192</v>
      </c>
      <c r="S8" s="21" t="s">
        <v>157</v>
      </c>
      <c r="T8" s="21" t="s">
        <v>158</v>
      </c>
      <c r="U8" s="21">
        <v>85000</v>
      </c>
      <c r="V8" s="67">
        <v>45245</v>
      </c>
      <c r="W8" s="12">
        <f t="shared" si="8"/>
        <v>1</v>
      </c>
      <c r="X8" s="12">
        <f t="shared" si="9"/>
        <v>1</v>
      </c>
      <c r="Y8" s="12">
        <f t="shared" si="10"/>
        <v>1</v>
      </c>
      <c r="Z8" s="12">
        <f t="shared" si="11"/>
        <v>1</v>
      </c>
      <c r="AA8" s="12">
        <f t="shared" si="12"/>
        <v>1</v>
      </c>
      <c r="AB8" s="12">
        <f t="shared" si="13"/>
        <v>1</v>
      </c>
      <c r="AC8" s="12">
        <f t="shared" si="14"/>
        <v>1</v>
      </c>
      <c r="AD8" s="12">
        <f t="shared" si="15"/>
        <v>1</v>
      </c>
      <c r="AE8" s="12">
        <f t="shared" si="16"/>
        <v>1</v>
      </c>
      <c r="AF8" s="12">
        <f t="shared" si="17"/>
        <v>1</v>
      </c>
      <c r="AG8" s="12">
        <f t="shared" si="18"/>
        <v>1</v>
      </c>
      <c r="AH8" s="12">
        <f t="shared" si="19"/>
        <v>1</v>
      </c>
      <c r="AI8" s="12">
        <f t="shared" si="20"/>
        <v>1</v>
      </c>
      <c r="AJ8" s="12">
        <f t="shared" si="21"/>
        <v>1</v>
      </c>
      <c r="AK8" s="12">
        <f t="shared" si="22"/>
        <v>1</v>
      </c>
      <c r="AL8" s="12">
        <f t="shared" si="23"/>
        <v>1</v>
      </c>
      <c r="AM8" s="12">
        <f t="shared" si="24"/>
        <v>1</v>
      </c>
      <c r="AN8" s="12">
        <f t="shared" si="25"/>
        <v>1</v>
      </c>
      <c r="AO8" s="12">
        <f t="shared" si="26"/>
        <v>1</v>
      </c>
      <c r="AP8" s="12">
        <f t="shared" si="27"/>
        <v>1</v>
      </c>
      <c r="AQ8" s="12">
        <f t="shared" si="28"/>
        <v>1</v>
      </c>
      <c r="AR8" s="12">
        <f t="shared" si="29"/>
        <v>1</v>
      </c>
      <c r="AS8" s="12" cm="1">
        <f t="array" ref="AS8">IF(AND(H8&lt;&gt;"",SUMPRODUCT(--ISNUMBER(FIND({0;1;2;3;4;5;6;7;8;9},H8)))=0),1,0)</f>
        <v>1</v>
      </c>
      <c r="AT8" s="12" cm="1">
        <f t="array" ref="AT8">IF(AND(I8&lt;&gt;"",SUMPRODUCT(--ISNUMBER(FIND({0;1;2;3;4;5;6;7;8;9},I8)))=0),1,0)</f>
        <v>1</v>
      </c>
      <c r="AU8" s="12" cm="1">
        <f t="array" ref="AU8">IF(AND(J8&lt;&gt;"",SUMPRODUCT(--ISNUMBER(FIND({0;1;2;3;4;5;6;7;8;9},J8)))=0),1,0)</f>
        <v>1</v>
      </c>
      <c r="AV8" s="12">
        <f t="shared" si="3"/>
        <v>1</v>
      </c>
      <c r="AW8" s="12">
        <f t="shared" ca="1" si="30"/>
        <v>1</v>
      </c>
      <c r="AX8" s="12">
        <f t="shared" si="31"/>
        <v>0</v>
      </c>
      <c r="AY8" s="12">
        <f t="shared" si="32"/>
        <v>1</v>
      </c>
      <c r="AZ8" s="12">
        <f t="shared" si="33"/>
        <v>1</v>
      </c>
      <c r="BA8" s="12">
        <f t="shared" si="34"/>
        <v>1</v>
      </c>
      <c r="BB8" s="12">
        <f t="shared" si="35"/>
        <v>1</v>
      </c>
      <c r="BC8" s="12">
        <f t="shared" ca="1" si="36"/>
        <v>1</v>
      </c>
      <c r="BD8" s="12">
        <f t="shared" si="37"/>
        <v>1</v>
      </c>
      <c r="BE8" s="12">
        <f t="shared" si="38"/>
        <v>1</v>
      </c>
      <c r="BF8" s="12">
        <f t="shared" si="39"/>
        <v>1</v>
      </c>
      <c r="BG8" s="12">
        <f t="shared" ca="1" si="40"/>
        <v>1</v>
      </c>
    </row>
    <row r="9" spans="1:59" ht="15" x14ac:dyDescent="0.2">
      <c r="A9" s="19">
        <f t="shared" si="4"/>
        <v>1</v>
      </c>
      <c r="B9" s="20">
        <f t="shared" si="5"/>
        <v>1</v>
      </c>
      <c r="C9" s="20">
        <f t="shared" ca="1" si="6"/>
        <v>0</v>
      </c>
      <c r="D9" s="50">
        <f t="shared" ca="1" si="7"/>
        <v>1</v>
      </c>
      <c r="E9" s="21" t="s">
        <v>192</v>
      </c>
      <c r="F9" s="21" t="s">
        <v>137</v>
      </c>
      <c r="G9" s="21">
        <v>1000000008</v>
      </c>
      <c r="H9" s="21" t="s">
        <v>193</v>
      </c>
      <c r="I9" s="21" t="s">
        <v>194</v>
      </c>
      <c r="J9" s="21" t="s">
        <v>195</v>
      </c>
      <c r="K9" s="21" t="s">
        <v>185</v>
      </c>
      <c r="L9" s="69">
        <v>31192</v>
      </c>
      <c r="M9" s="21" t="s">
        <v>196</v>
      </c>
      <c r="N9" s="21">
        <v>3519171267</v>
      </c>
      <c r="O9" s="21" t="s">
        <v>197</v>
      </c>
      <c r="P9" s="21" t="s">
        <v>179</v>
      </c>
      <c r="Q9" s="21" t="s">
        <v>180</v>
      </c>
      <c r="R9" s="67">
        <v>46049</v>
      </c>
      <c r="S9" s="21" t="s">
        <v>157</v>
      </c>
      <c r="T9" s="21" t="s">
        <v>158</v>
      </c>
      <c r="U9" s="21">
        <v>95000</v>
      </c>
      <c r="V9" s="67">
        <v>46368</v>
      </c>
      <c r="W9" s="12">
        <f t="shared" si="8"/>
        <v>1</v>
      </c>
      <c r="X9" s="12">
        <f t="shared" si="9"/>
        <v>1</v>
      </c>
      <c r="Y9" s="12">
        <f t="shared" si="10"/>
        <v>1</v>
      </c>
      <c r="Z9" s="12">
        <f t="shared" si="11"/>
        <v>1</v>
      </c>
      <c r="AA9" s="12">
        <f t="shared" si="12"/>
        <v>1</v>
      </c>
      <c r="AB9" s="12">
        <f t="shared" si="13"/>
        <v>1</v>
      </c>
      <c r="AC9" s="12">
        <f t="shared" si="14"/>
        <v>1</v>
      </c>
      <c r="AD9" s="12">
        <f t="shared" si="15"/>
        <v>1</v>
      </c>
      <c r="AE9" s="12">
        <f t="shared" si="16"/>
        <v>1</v>
      </c>
      <c r="AF9" s="12">
        <f t="shared" si="17"/>
        <v>1</v>
      </c>
      <c r="AG9" s="12">
        <f t="shared" si="18"/>
        <v>1</v>
      </c>
      <c r="AH9" s="12">
        <f t="shared" si="19"/>
        <v>1</v>
      </c>
      <c r="AI9" s="12">
        <f t="shared" si="20"/>
        <v>1</v>
      </c>
      <c r="AJ9" s="12">
        <f t="shared" si="21"/>
        <v>1</v>
      </c>
      <c r="AK9" s="12">
        <f t="shared" si="22"/>
        <v>1</v>
      </c>
      <c r="AL9" s="12">
        <f t="shared" si="23"/>
        <v>1</v>
      </c>
      <c r="AM9" s="12">
        <f t="shared" si="24"/>
        <v>1</v>
      </c>
      <c r="AN9" s="12">
        <f t="shared" si="25"/>
        <v>1</v>
      </c>
      <c r="AO9" s="12">
        <f t="shared" si="26"/>
        <v>1</v>
      </c>
      <c r="AP9" s="12">
        <f t="shared" si="27"/>
        <v>1</v>
      </c>
      <c r="AQ9" s="12">
        <f t="shared" si="28"/>
        <v>1</v>
      </c>
      <c r="AR9" s="12">
        <f t="shared" si="29"/>
        <v>1</v>
      </c>
      <c r="AS9" s="12" cm="1">
        <f t="array" ref="AS9">IF(AND(H9&lt;&gt;"",SUMPRODUCT(--ISNUMBER(FIND({0;1;2;3;4;5;6;7;8;9},H9)))=0),1,0)</f>
        <v>1</v>
      </c>
      <c r="AT9" s="12" cm="1">
        <f t="array" ref="AT9">IF(AND(I9&lt;&gt;"",SUMPRODUCT(--ISNUMBER(FIND({0;1;2;3;4;5;6;7;8;9},I9)))=0),1,0)</f>
        <v>1</v>
      </c>
      <c r="AU9" s="12" cm="1">
        <f t="array" ref="AU9">IF(AND(J9&lt;&gt;"",SUMPRODUCT(--ISNUMBER(FIND({0;1;2;3;4;5;6;7;8;9},J9)))=0),1,0)</f>
        <v>1</v>
      </c>
      <c r="AV9" s="12">
        <f t="shared" si="3"/>
        <v>1</v>
      </c>
      <c r="AW9" s="12">
        <f t="shared" ca="1" si="30"/>
        <v>1</v>
      </c>
      <c r="AX9" s="12">
        <f t="shared" si="31"/>
        <v>1</v>
      </c>
      <c r="AY9" s="12">
        <f t="shared" si="32"/>
        <v>1</v>
      </c>
      <c r="AZ9" s="12">
        <f t="shared" si="33"/>
        <v>1</v>
      </c>
      <c r="BA9" s="12">
        <f t="shared" si="34"/>
        <v>1</v>
      </c>
      <c r="BB9" s="12">
        <f t="shared" si="35"/>
        <v>1</v>
      </c>
      <c r="BC9" s="12">
        <f t="shared" ca="1" si="36"/>
        <v>1</v>
      </c>
      <c r="BD9" s="12">
        <f t="shared" si="37"/>
        <v>1</v>
      </c>
      <c r="BE9" s="12">
        <f t="shared" si="38"/>
        <v>1</v>
      </c>
      <c r="BF9" s="12">
        <f t="shared" si="39"/>
        <v>1</v>
      </c>
      <c r="BG9" s="12">
        <f t="shared" ca="1" si="40"/>
        <v>0</v>
      </c>
    </row>
    <row r="10" spans="1:59" ht="15" x14ac:dyDescent="0.2">
      <c r="A10" s="19">
        <f t="shared" si="4"/>
        <v>1</v>
      </c>
      <c r="B10" s="20">
        <f t="shared" si="5"/>
        <v>1</v>
      </c>
      <c r="C10" s="20">
        <f t="shared" ca="1" si="6"/>
        <v>1</v>
      </c>
      <c r="D10" s="50">
        <f t="shared" ca="1" si="7"/>
        <v>0</v>
      </c>
      <c r="E10" s="21" t="s">
        <v>198</v>
      </c>
      <c r="F10" s="21" t="s">
        <v>149</v>
      </c>
      <c r="G10" s="21">
        <v>1000000009</v>
      </c>
      <c r="H10" s="21" t="s">
        <v>199</v>
      </c>
      <c r="I10" s="21" t="s">
        <v>183</v>
      </c>
      <c r="J10" s="21" t="s">
        <v>200</v>
      </c>
      <c r="K10" s="21" t="s">
        <v>185</v>
      </c>
      <c r="L10" s="69">
        <v>24289</v>
      </c>
      <c r="M10" s="21" t="s">
        <v>201</v>
      </c>
      <c r="N10" s="21">
        <v>3647568116</v>
      </c>
      <c r="O10" s="21" t="s">
        <v>202</v>
      </c>
      <c r="P10" s="21" t="s">
        <v>155</v>
      </c>
      <c r="Q10" s="21" t="s">
        <v>156</v>
      </c>
      <c r="R10" s="67">
        <v>44924</v>
      </c>
      <c r="S10" s="21" t="s">
        <v>146</v>
      </c>
      <c r="T10" s="21" t="s">
        <v>158</v>
      </c>
      <c r="U10" s="21">
        <v>90000</v>
      </c>
      <c r="V10" s="67">
        <v>45038</v>
      </c>
      <c r="W10" s="12">
        <f t="shared" si="8"/>
        <v>1</v>
      </c>
      <c r="X10" s="12">
        <f t="shared" si="9"/>
        <v>1</v>
      </c>
      <c r="Y10" s="12">
        <f t="shared" si="10"/>
        <v>1</v>
      </c>
      <c r="Z10" s="12">
        <f t="shared" si="11"/>
        <v>1</v>
      </c>
      <c r="AA10" s="12">
        <f t="shared" si="12"/>
        <v>1</v>
      </c>
      <c r="AB10" s="12">
        <f t="shared" si="13"/>
        <v>1</v>
      </c>
      <c r="AC10" s="12">
        <f t="shared" si="14"/>
        <v>1</v>
      </c>
      <c r="AD10" s="12">
        <f t="shared" si="15"/>
        <v>1</v>
      </c>
      <c r="AE10" s="12">
        <f t="shared" si="16"/>
        <v>1</v>
      </c>
      <c r="AF10" s="12">
        <f t="shared" si="17"/>
        <v>1</v>
      </c>
      <c r="AG10" s="12">
        <f t="shared" si="18"/>
        <v>1</v>
      </c>
      <c r="AH10" s="12">
        <f t="shared" si="19"/>
        <v>1</v>
      </c>
      <c r="AI10" s="12">
        <f t="shared" si="20"/>
        <v>1</v>
      </c>
      <c r="AJ10" s="12">
        <f t="shared" si="21"/>
        <v>1</v>
      </c>
      <c r="AK10" s="12">
        <f t="shared" si="22"/>
        <v>1</v>
      </c>
      <c r="AL10" s="12">
        <f t="shared" si="23"/>
        <v>1</v>
      </c>
      <c r="AM10" s="12">
        <f t="shared" si="24"/>
        <v>1</v>
      </c>
      <c r="AN10" s="12">
        <f t="shared" si="25"/>
        <v>1</v>
      </c>
      <c r="AO10" s="12">
        <f t="shared" si="26"/>
        <v>1</v>
      </c>
      <c r="AP10" s="12">
        <f t="shared" si="27"/>
        <v>1</v>
      </c>
      <c r="AQ10" s="12">
        <f t="shared" si="28"/>
        <v>1</v>
      </c>
      <c r="AR10" s="12">
        <f t="shared" si="29"/>
        <v>1</v>
      </c>
      <c r="AS10" s="12" cm="1">
        <f t="array" ref="AS10">IF(AND(H10&lt;&gt;"",SUMPRODUCT(--ISNUMBER(FIND({0;1;2;3;4;5;6;7;8;9},H10)))=0),1,0)</f>
        <v>1</v>
      </c>
      <c r="AT10" s="12" cm="1">
        <f t="array" ref="AT10">IF(AND(I10&lt;&gt;"",SUMPRODUCT(--ISNUMBER(FIND({0;1;2;3;4;5;6;7;8;9},I10)))=0),1,0)</f>
        <v>1</v>
      </c>
      <c r="AU10" s="12" cm="1">
        <f t="array" ref="AU10">IF(AND(J10&lt;&gt;"",SUMPRODUCT(--ISNUMBER(FIND({0;1;2;3;4;5;6;7;8;9},J10)))=0),1,0)</f>
        <v>1</v>
      </c>
      <c r="AV10" s="12">
        <f t="shared" si="3"/>
        <v>1</v>
      </c>
      <c r="AW10" s="12">
        <f t="shared" ca="1" si="30"/>
        <v>1</v>
      </c>
      <c r="AX10" s="12">
        <f t="shared" si="31"/>
        <v>1</v>
      </c>
      <c r="AY10" s="12">
        <f t="shared" si="32"/>
        <v>1</v>
      </c>
      <c r="AZ10" s="12">
        <f t="shared" si="33"/>
        <v>1</v>
      </c>
      <c r="BA10" s="12">
        <f t="shared" si="34"/>
        <v>1</v>
      </c>
      <c r="BB10" s="12">
        <f t="shared" si="35"/>
        <v>1</v>
      </c>
      <c r="BC10" s="12">
        <f t="shared" ca="1" si="36"/>
        <v>1</v>
      </c>
      <c r="BD10" s="12">
        <f t="shared" si="37"/>
        <v>1</v>
      </c>
      <c r="BE10" s="12">
        <f t="shared" si="38"/>
        <v>1</v>
      </c>
      <c r="BF10" s="12">
        <f t="shared" si="39"/>
        <v>1</v>
      </c>
      <c r="BG10" s="12">
        <f t="shared" ca="1" si="40"/>
        <v>1</v>
      </c>
    </row>
    <row r="11" spans="1:59" ht="15" x14ac:dyDescent="0.2">
      <c r="A11" s="19">
        <f t="shared" si="4"/>
        <v>1</v>
      </c>
      <c r="B11" s="20">
        <f t="shared" si="5"/>
        <v>1</v>
      </c>
      <c r="C11" s="20">
        <f t="shared" ca="1" si="6"/>
        <v>1</v>
      </c>
      <c r="D11" s="50">
        <f t="shared" ca="1" si="7"/>
        <v>0</v>
      </c>
      <c r="E11" s="21" t="s">
        <v>203</v>
      </c>
      <c r="F11" s="21" t="s">
        <v>149</v>
      </c>
      <c r="G11" s="21">
        <v>1000000010</v>
      </c>
      <c r="H11" s="21" t="s">
        <v>189</v>
      </c>
      <c r="I11" s="21" t="s">
        <v>151</v>
      </c>
      <c r="J11" s="21" t="s">
        <v>183</v>
      </c>
      <c r="K11" s="21" t="s">
        <v>185</v>
      </c>
      <c r="L11" s="69">
        <v>31441</v>
      </c>
      <c r="M11" s="21" t="s">
        <v>204</v>
      </c>
      <c r="N11" s="21">
        <v>3231368902</v>
      </c>
      <c r="O11" s="21" t="s">
        <v>205</v>
      </c>
      <c r="P11" s="21" t="s">
        <v>144</v>
      </c>
      <c r="Q11" s="21" t="s">
        <v>145</v>
      </c>
      <c r="R11" s="67">
        <v>44860</v>
      </c>
      <c r="S11" s="21" t="s">
        <v>157</v>
      </c>
      <c r="T11" s="21" t="s">
        <v>158</v>
      </c>
      <c r="U11" s="21">
        <v>90000</v>
      </c>
      <c r="V11" s="67">
        <v>45065</v>
      </c>
      <c r="W11" s="12">
        <f t="shared" si="8"/>
        <v>1</v>
      </c>
      <c r="X11" s="12">
        <f t="shared" si="9"/>
        <v>1</v>
      </c>
      <c r="Y11" s="12">
        <f t="shared" si="10"/>
        <v>1</v>
      </c>
      <c r="Z11" s="12">
        <f t="shared" si="11"/>
        <v>1</v>
      </c>
      <c r="AA11" s="12">
        <f t="shared" si="12"/>
        <v>1</v>
      </c>
      <c r="AB11" s="12">
        <f t="shared" si="13"/>
        <v>1</v>
      </c>
      <c r="AC11" s="12">
        <f t="shared" si="14"/>
        <v>1</v>
      </c>
      <c r="AD11" s="12">
        <f t="shared" si="15"/>
        <v>1</v>
      </c>
      <c r="AE11" s="12">
        <f t="shared" si="16"/>
        <v>1</v>
      </c>
      <c r="AF11" s="12">
        <f t="shared" si="17"/>
        <v>1</v>
      </c>
      <c r="AG11" s="12">
        <f t="shared" si="18"/>
        <v>1</v>
      </c>
      <c r="AH11" s="12">
        <f t="shared" si="19"/>
        <v>1</v>
      </c>
      <c r="AI11" s="12">
        <f t="shared" si="20"/>
        <v>1</v>
      </c>
      <c r="AJ11" s="12">
        <f t="shared" si="21"/>
        <v>1</v>
      </c>
      <c r="AK11" s="12">
        <f t="shared" si="22"/>
        <v>1</v>
      </c>
      <c r="AL11" s="12">
        <f t="shared" si="23"/>
        <v>1</v>
      </c>
      <c r="AM11" s="12">
        <f t="shared" si="24"/>
        <v>1</v>
      </c>
      <c r="AN11" s="12">
        <f t="shared" si="25"/>
        <v>1</v>
      </c>
      <c r="AO11" s="12">
        <f t="shared" si="26"/>
        <v>1</v>
      </c>
      <c r="AP11" s="12">
        <f t="shared" si="27"/>
        <v>1</v>
      </c>
      <c r="AQ11" s="12">
        <f t="shared" si="28"/>
        <v>1</v>
      </c>
      <c r="AR11" s="12">
        <f t="shared" si="29"/>
        <v>1</v>
      </c>
      <c r="AS11" s="12" cm="1">
        <f t="array" ref="AS11">IF(AND(H11&lt;&gt;"",SUMPRODUCT(--ISNUMBER(FIND({0;1;2;3;4;5;6;7;8;9},H11)))=0),1,0)</f>
        <v>1</v>
      </c>
      <c r="AT11" s="12" cm="1">
        <f t="array" ref="AT11">IF(AND(I11&lt;&gt;"",SUMPRODUCT(--ISNUMBER(FIND({0;1;2;3;4;5;6;7;8;9},I11)))=0),1,0)</f>
        <v>1</v>
      </c>
      <c r="AU11" s="12" cm="1">
        <f t="array" ref="AU11">IF(AND(J11&lt;&gt;"",SUMPRODUCT(--ISNUMBER(FIND({0;1;2;3;4;5;6;7;8;9},J11)))=0),1,0)</f>
        <v>1</v>
      </c>
      <c r="AV11" s="12">
        <f t="shared" si="3"/>
        <v>1</v>
      </c>
      <c r="AW11" s="12">
        <f t="shared" ca="1" si="30"/>
        <v>1</v>
      </c>
      <c r="AX11" s="12">
        <f t="shared" si="31"/>
        <v>1</v>
      </c>
      <c r="AY11" s="12">
        <f t="shared" si="32"/>
        <v>1</v>
      </c>
      <c r="AZ11" s="12">
        <f t="shared" si="33"/>
        <v>1</v>
      </c>
      <c r="BA11" s="12">
        <f t="shared" si="34"/>
        <v>1</v>
      </c>
      <c r="BB11" s="12">
        <f t="shared" si="35"/>
        <v>1</v>
      </c>
      <c r="BC11" s="12">
        <f t="shared" ca="1" si="36"/>
        <v>1</v>
      </c>
      <c r="BD11" s="12">
        <f t="shared" si="37"/>
        <v>1</v>
      </c>
      <c r="BE11" s="12">
        <f t="shared" si="38"/>
        <v>1</v>
      </c>
      <c r="BF11" s="12">
        <f t="shared" si="39"/>
        <v>1</v>
      </c>
      <c r="BG11" s="12">
        <f t="shared" ca="1" si="40"/>
        <v>1</v>
      </c>
    </row>
    <row r="12" spans="1:59" ht="15" x14ac:dyDescent="0.2">
      <c r="A12" s="19">
        <f t="shared" si="4"/>
        <v>1</v>
      </c>
      <c r="B12" s="20">
        <f t="shared" si="5"/>
        <v>1</v>
      </c>
      <c r="C12" s="20">
        <f t="shared" ca="1" si="6"/>
        <v>1</v>
      </c>
      <c r="D12" s="50">
        <f t="shared" ca="1" si="7"/>
        <v>0</v>
      </c>
      <c r="E12" s="21" t="s">
        <v>206</v>
      </c>
      <c r="F12" s="21" t="s">
        <v>160</v>
      </c>
      <c r="G12" s="21">
        <v>1000000011</v>
      </c>
      <c r="H12" s="21" t="s">
        <v>207</v>
      </c>
      <c r="I12" s="21" t="s">
        <v>195</v>
      </c>
      <c r="J12" s="21" t="s">
        <v>151</v>
      </c>
      <c r="K12" s="21" t="s">
        <v>141</v>
      </c>
      <c r="L12" s="69">
        <v>24906</v>
      </c>
      <c r="M12" s="21" t="s">
        <v>208</v>
      </c>
      <c r="N12" s="21">
        <v>3701522160</v>
      </c>
      <c r="O12" s="21" t="s">
        <v>209</v>
      </c>
      <c r="P12" s="21" t="s">
        <v>155</v>
      </c>
      <c r="Q12" s="21" t="s">
        <v>156</v>
      </c>
      <c r="R12" s="67">
        <v>44964</v>
      </c>
      <c r="S12" s="21" t="s">
        <v>146</v>
      </c>
      <c r="T12" s="21" t="s">
        <v>158</v>
      </c>
      <c r="U12" s="21">
        <v>75000</v>
      </c>
      <c r="V12" s="67">
        <v>45000</v>
      </c>
      <c r="W12" s="12">
        <f t="shared" si="8"/>
        <v>1</v>
      </c>
      <c r="X12" s="12">
        <f t="shared" si="9"/>
        <v>1</v>
      </c>
      <c r="Y12" s="12">
        <f t="shared" si="10"/>
        <v>1</v>
      </c>
      <c r="Z12" s="12">
        <f t="shared" si="11"/>
        <v>1</v>
      </c>
      <c r="AA12" s="12">
        <f t="shared" si="12"/>
        <v>1</v>
      </c>
      <c r="AB12" s="12">
        <f t="shared" si="13"/>
        <v>1</v>
      </c>
      <c r="AC12" s="12">
        <f t="shared" si="14"/>
        <v>1</v>
      </c>
      <c r="AD12" s="12">
        <f t="shared" si="15"/>
        <v>1</v>
      </c>
      <c r="AE12" s="12">
        <f t="shared" si="16"/>
        <v>1</v>
      </c>
      <c r="AF12" s="12">
        <f t="shared" si="17"/>
        <v>1</v>
      </c>
      <c r="AG12" s="12">
        <f t="shared" si="18"/>
        <v>1</v>
      </c>
      <c r="AH12" s="12">
        <f t="shared" si="19"/>
        <v>1</v>
      </c>
      <c r="AI12" s="12">
        <f t="shared" si="20"/>
        <v>1</v>
      </c>
      <c r="AJ12" s="12">
        <f t="shared" si="21"/>
        <v>1</v>
      </c>
      <c r="AK12" s="12">
        <f t="shared" si="22"/>
        <v>1</v>
      </c>
      <c r="AL12" s="12">
        <f t="shared" si="23"/>
        <v>1</v>
      </c>
      <c r="AM12" s="12">
        <f t="shared" si="24"/>
        <v>1</v>
      </c>
      <c r="AN12" s="12">
        <f t="shared" si="25"/>
        <v>1</v>
      </c>
      <c r="AO12" s="12">
        <f t="shared" si="26"/>
        <v>1</v>
      </c>
      <c r="AP12" s="12">
        <f t="shared" si="27"/>
        <v>1</v>
      </c>
      <c r="AQ12" s="12">
        <f t="shared" si="28"/>
        <v>1</v>
      </c>
      <c r="AR12" s="12">
        <f t="shared" si="29"/>
        <v>1</v>
      </c>
      <c r="AS12" s="12" cm="1">
        <f t="array" ref="AS12">IF(AND(H12&lt;&gt;"",SUMPRODUCT(--ISNUMBER(FIND({0;1;2;3;4;5;6;7;8;9},H12)))=0),1,0)</f>
        <v>1</v>
      </c>
      <c r="AT12" s="12" cm="1">
        <f t="array" ref="AT12">IF(AND(I12&lt;&gt;"",SUMPRODUCT(--ISNUMBER(FIND({0;1;2;3;4;5;6;7;8;9},I12)))=0),1,0)</f>
        <v>1</v>
      </c>
      <c r="AU12" s="12" cm="1">
        <f t="array" ref="AU12">IF(AND(J12&lt;&gt;"",SUMPRODUCT(--ISNUMBER(FIND({0;1;2;3;4;5;6;7;8;9},J12)))=0),1,0)</f>
        <v>1</v>
      </c>
      <c r="AV12" s="12">
        <f t="shared" si="3"/>
        <v>1</v>
      </c>
      <c r="AW12" s="12">
        <f t="shared" ca="1" si="30"/>
        <v>1</v>
      </c>
      <c r="AX12" s="12">
        <f t="shared" si="31"/>
        <v>1</v>
      </c>
      <c r="AY12" s="12">
        <f t="shared" si="32"/>
        <v>1</v>
      </c>
      <c r="AZ12" s="12">
        <f t="shared" si="33"/>
        <v>1</v>
      </c>
      <c r="BA12" s="12">
        <f t="shared" si="34"/>
        <v>1</v>
      </c>
      <c r="BB12" s="12">
        <f t="shared" si="35"/>
        <v>1</v>
      </c>
      <c r="BC12" s="12">
        <f t="shared" ca="1" si="36"/>
        <v>1</v>
      </c>
      <c r="BD12" s="12">
        <f t="shared" si="37"/>
        <v>1</v>
      </c>
      <c r="BE12" s="12">
        <f t="shared" si="38"/>
        <v>1</v>
      </c>
      <c r="BF12" s="12">
        <f t="shared" si="39"/>
        <v>1</v>
      </c>
      <c r="BG12" s="12">
        <f t="shared" ca="1" si="40"/>
        <v>1</v>
      </c>
    </row>
    <row r="13" spans="1:59" ht="15" x14ac:dyDescent="0.2">
      <c r="A13" s="19">
        <f t="shared" si="4"/>
        <v>1</v>
      </c>
      <c r="B13" s="20">
        <f t="shared" si="5"/>
        <v>1</v>
      </c>
      <c r="C13" s="20">
        <f t="shared" ca="1" si="6"/>
        <v>0</v>
      </c>
      <c r="D13" s="50">
        <f t="shared" ca="1" si="7"/>
        <v>1</v>
      </c>
      <c r="E13" s="21" t="s">
        <v>210</v>
      </c>
      <c r="F13" s="21" t="s">
        <v>149</v>
      </c>
      <c r="G13" s="21">
        <v>1000000012</v>
      </c>
      <c r="H13" s="21" t="s">
        <v>211</v>
      </c>
      <c r="I13" s="21" t="s">
        <v>212</v>
      </c>
      <c r="J13" s="21" t="s">
        <v>212</v>
      </c>
      <c r="K13" s="21" t="s">
        <v>141</v>
      </c>
      <c r="L13" s="69">
        <v>34311</v>
      </c>
      <c r="M13" s="21" t="s">
        <v>190</v>
      </c>
      <c r="N13" s="21">
        <v>3441184046</v>
      </c>
      <c r="O13" s="21" t="s">
        <v>213</v>
      </c>
      <c r="P13" s="21" t="s">
        <v>144</v>
      </c>
      <c r="Q13" s="21" t="s">
        <v>145</v>
      </c>
      <c r="R13" s="67">
        <v>45827</v>
      </c>
      <c r="S13" s="21" t="s">
        <v>146</v>
      </c>
      <c r="T13" s="21" t="s">
        <v>158</v>
      </c>
      <c r="U13" s="21">
        <v>75000</v>
      </c>
      <c r="V13" s="67">
        <v>45967</v>
      </c>
      <c r="W13" s="12">
        <f t="shared" si="8"/>
        <v>1</v>
      </c>
      <c r="X13" s="12">
        <f t="shared" si="9"/>
        <v>1</v>
      </c>
      <c r="Y13" s="12">
        <f t="shared" si="10"/>
        <v>1</v>
      </c>
      <c r="Z13" s="12">
        <f t="shared" si="11"/>
        <v>1</v>
      </c>
      <c r="AA13" s="12">
        <f t="shared" si="12"/>
        <v>1</v>
      </c>
      <c r="AB13" s="12">
        <f t="shared" si="13"/>
        <v>1</v>
      </c>
      <c r="AC13" s="12">
        <f t="shared" si="14"/>
        <v>1</v>
      </c>
      <c r="AD13" s="12">
        <f t="shared" si="15"/>
        <v>1</v>
      </c>
      <c r="AE13" s="12">
        <f t="shared" si="16"/>
        <v>1</v>
      </c>
      <c r="AF13" s="12">
        <f t="shared" si="17"/>
        <v>1</v>
      </c>
      <c r="AG13" s="12">
        <f t="shared" si="18"/>
        <v>1</v>
      </c>
      <c r="AH13" s="12">
        <f t="shared" si="19"/>
        <v>1</v>
      </c>
      <c r="AI13" s="12">
        <f t="shared" si="20"/>
        <v>1</v>
      </c>
      <c r="AJ13" s="12">
        <f t="shared" si="21"/>
        <v>1</v>
      </c>
      <c r="AK13" s="12">
        <f t="shared" si="22"/>
        <v>1</v>
      </c>
      <c r="AL13" s="12">
        <f t="shared" si="23"/>
        <v>1</v>
      </c>
      <c r="AM13" s="12">
        <f t="shared" si="24"/>
        <v>1</v>
      </c>
      <c r="AN13" s="12">
        <f t="shared" si="25"/>
        <v>1</v>
      </c>
      <c r="AO13" s="12">
        <f t="shared" si="26"/>
        <v>1</v>
      </c>
      <c r="AP13" s="12">
        <f t="shared" si="27"/>
        <v>1</v>
      </c>
      <c r="AQ13" s="12">
        <f t="shared" si="28"/>
        <v>1</v>
      </c>
      <c r="AR13" s="12">
        <f t="shared" si="29"/>
        <v>1</v>
      </c>
      <c r="AS13" s="12" cm="1">
        <f t="array" ref="AS13">IF(AND(H13&lt;&gt;"",SUMPRODUCT(--ISNUMBER(FIND({0;1;2;3;4;5;6;7;8;9},H13)))=0),1,0)</f>
        <v>1</v>
      </c>
      <c r="AT13" s="12" cm="1">
        <f t="array" ref="AT13">IF(AND(I13&lt;&gt;"",SUMPRODUCT(--ISNUMBER(FIND({0;1;2;3;4;5;6;7;8;9},I13)))=0),1,0)</f>
        <v>1</v>
      </c>
      <c r="AU13" s="12" cm="1">
        <f t="array" ref="AU13">IF(AND(J13&lt;&gt;"",SUMPRODUCT(--ISNUMBER(FIND({0;1;2;3;4;5;6;7;8;9},J13)))=0),1,0)</f>
        <v>1</v>
      </c>
      <c r="AV13" s="12">
        <f t="shared" si="3"/>
        <v>1</v>
      </c>
      <c r="AW13" s="12">
        <f t="shared" ca="1" si="30"/>
        <v>1</v>
      </c>
      <c r="AX13" s="12">
        <f t="shared" si="31"/>
        <v>0</v>
      </c>
      <c r="AY13" s="12">
        <f t="shared" si="32"/>
        <v>1</v>
      </c>
      <c r="AZ13" s="12">
        <f t="shared" si="33"/>
        <v>1</v>
      </c>
      <c r="BA13" s="12">
        <f t="shared" si="34"/>
        <v>1</v>
      </c>
      <c r="BB13" s="12">
        <f t="shared" si="35"/>
        <v>1</v>
      </c>
      <c r="BC13" s="12">
        <f t="shared" ca="1" si="36"/>
        <v>1</v>
      </c>
      <c r="BD13" s="12">
        <f t="shared" si="37"/>
        <v>1</v>
      </c>
      <c r="BE13" s="12">
        <f t="shared" si="38"/>
        <v>1</v>
      </c>
      <c r="BF13" s="12">
        <f t="shared" si="39"/>
        <v>1</v>
      </c>
      <c r="BG13" s="12">
        <f t="shared" ca="1" si="40"/>
        <v>1</v>
      </c>
    </row>
    <row r="14" spans="1:59" ht="15" x14ac:dyDescent="0.2">
      <c r="A14" s="19">
        <f t="shared" si="4"/>
        <v>1</v>
      </c>
      <c r="B14" s="20">
        <f t="shared" si="5"/>
        <v>1</v>
      </c>
      <c r="C14" s="20">
        <f t="shared" ca="1" si="6"/>
        <v>1</v>
      </c>
      <c r="D14" s="50">
        <f t="shared" ca="1" si="7"/>
        <v>0</v>
      </c>
      <c r="E14" s="21" t="s">
        <v>214</v>
      </c>
      <c r="F14" s="21" t="s">
        <v>149</v>
      </c>
      <c r="G14" s="21">
        <v>1000000013</v>
      </c>
      <c r="H14" s="21" t="s">
        <v>161</v>
      </c>
      <c r="I14" s="21" t="s">
        <v>194</v>
      </c>
      <c r="J14" s="21" t="s">
        <v>212</v>
      </c>
      <c r="K14" s="21" t="s">
        <v>141</v>
      </c>
      <c r="L14" s="69">
        <v>26754</v>
      </c>
      <c r="M14" s="21" t="s">
        <v>215</v>
      </c>
      <c r="N14" s="21">
        <v>3176649316</v>
      </c>
      <c r="O14" s="21" t="s">
        <v>216</v>
      </c>
      <c r="P14" s="21" t="s">
        <v>217</v>
      </c>
      <c r="Q14" s="21" t="s">
        <v>218</v>
      </c>
      <c r="R14" s="67">
        <v>45762</v>
      </c>
      <c r="S14" s="21" t="s">
        <v>157</v>
      </c>
      <c r="T14" s="21" t="s">
        <v>147</v>
      </c>
      <c r="U14" s="21">
        <v>85000</v>
      </c>
      <c r="V14" s="67">
        <v>45999</v>
      </c>
      <c r="W14" s="12">
        <f t="shared" si="8"/>
        <v>1</v>
      </c>
      <c r="X14" s="12">
        <f t="shared" si="9"/>
        <v>1</v>
      </c>
      <c r="Y14" s="12">
        <f t="shared" si="10"/>
        <v>1</v>
      </c>
      <c r="Z14" s="12">
        <f t="shared" si="11"/>
        <v>1</v>
      </c>
      <c r="AA14" s="12">
        <f t="shared" si="12"/>
        <v>1</v>
      </c>
      <c r="AB14" s="12">
        <f t="shared" si="13"/>
        <v>1</v>
      </c>
      <c r="AC14" s="12">
        <f t="shared" si="14"/>
        <v>1</v>
      </c>
      <c r="AD14" s="12">
        <f t="shared" si="15"/>
        <v>1</v>
      </c>
      <c r="AE14" s="12">
        <f t="shared" si="16"/>
        <v>1</v>
      </c>
      <c r="AF14" s="12">
        <f t="shared" si="17"/>
        <v>1</v>
      </c>
      <c r="AG14" s="12">
        <f t="shared" si="18"/>
        <v>1</v>
      </c>
      <c r="AH14" s="12">
        <f t="shared" si="19"/>
        <v>1</v>
      </c>
      <c r="AI14" s="12">
        <f t="shared" si="20"/>
        <v>1</v>
      </c>
      <c r="AJ14" s="12">
        <f t="shared" si="21"/>
        <v>1</v>
      </c>
      <c r="AK14" s="12">
        <f t="shared" si="22"/>
        <v>1</v>
      </c>
      <c r="AL14" s="12">
        <f t="shared" si="23"/>
        <v>1</v>
      </c>
      <c r="AM14" s="12">
        <f t="shared" si="24"/>
        <v>1</v>
      </c>
      <c r="AN14" s="12">
        <f t="shared" si="25"/>
        <v>1</v>
      </c>
      <c r="AO14" s="12">
        <f t="shared" si="26"/>
        <v>1</v>
      </c>
      <c r="AP14" s="12">
        <f t="shared" si="27"/>
        <v>1</v>
      </c>
      <c r="AQ14" s="12">
        <f t="shared" si="28"/>
        <v>1</v>
      </c>
      <c r="AR14" s="12">
        <f t="shared" si="29"/>
        <v>1</v>
      </c>
      <c r="AS14" s="12" cm="1">
        <f t="array" ref="AS14">IF(AND(H14&lt;&gt;"",SUMPRODUCT(--ISNUMBER(FIND({0;1;2;3;4;5;6;7;8;9},H14)))=0),1,0)</f>
        <v>1</v>
      </c>
      <c r="AT14" s="12" cm="1">
        <f t="array" ref="AT14">IF(AND(I14&lt;&gt;"",SUMPRODUCT(--ISNUMBER(FIND({0;1;2;3;4;5;6;7;8;9},I14)))=0),1,0)</f>
        <v>1</v>
      </c>
      <c r="AU14" s="12" cm="1">
        <f t="array" ref="AU14">IF(AND(J14&lt;&gt;"",SUMPRODUCT(--ISNUMBER(FIND({0;1;2;3;4;5;6;7;8;9},J14)))=0),1,0)</f>
        <v>1</v>
      </c>
      <c r="AV14" s="12">
        <f t="shared" si="3"/>
        <v>1</v>
      </c>
      <c r="AW14" s="12">
        <f t="shared" ca="1" si="30"/>
        <v>1</v>
      </c>
      <c r="AX14" s="12">
        <f t="shared" si="31"/>
        <v>1</v>
      </c>
      <c r="AY14" s="12">
        <f t="shared" si="32"/>
        <v>1</v>
      </c>
      <c r="AZ14" s="12">
        <f t="shared" si="33"/>
        <v>1</v>
      </c>
      <c r="BA14" s="12">
        <f t="shared" si="34"/>
        <v>1</v>
      </c>
      <c r="BB14" s="12">
        <f t="shared" si="35"/>
        <v>1</v>
      </c>
      <c r="BC14" s="12">
        <f t="shared" ca="1" si="36"/>
        <v>1</v>
      </c>
      <c r="BD14" s="12">
        <f t="shared" si="37"/>
        <v>1</v>
      </c>
      <c r="BE14" s="12">
        <f t="shared" si="38"/>
        <v>1</v>
      </c>
      <c r="BF14" s="12">
        <f t="shared" si="39"/>
        <v>1</v>
      </c>
      <c r="BG14" s="12">
        <f t="shared" ca="1" si="40"/>
        <v>1</v>
      </c>
    </row>
    <row r="15" spans="1:59" ht="15" x14ac:dyDescent="0.2">
      <c r="A15" s="19">
        <f t="shared" si="4"/>
        <v>1</v>
      </c>
      <c r="B15" s="20">
        <f t="shared" si="5"/>
        <v>1</v>
      </c>
      <c r="C15" s="20">
        <f t="shared" ca="1" si="6"/>
        <v>1</v>
      </c>
      <c r="D15" s="50">
        <f t="shared" ca="1" si="7"/>
        <v>0</v>
      </c>
      <c r="E15" s="21" t="s">
        <v>219</v>
      </c>
      <c r="F15" s="21" t="s">
        <v>160</v>
      </c>
      <c r="G15" s="21">
        <v>1000000014</v>
      </c>
      <c r="H15" s="21" t="s">
        <v>220</v>
      </c>
      <c r="I15" s="21" t="s">
        <v>221</v>
      </c>
      <c r="J15" s="21" t="s">
        <v>152</v>
      </c>
      <c r="K15" s="21" t="s">
        <v>141</v>
      </c>
      <c r="L15" s="69">
        <v>29634</v>
      </c>
      <c r="M15" s="21" t="s">
        <v>222</v>
      </c>
      <c r="N15" s="21">
        <v>3101635354</v>
      </c>
      <c r="O15" s="21" t="s">
        <v>223</v>
      </c>
      <c r="P15" s="21" t="s">
        <v>224</v>
      </c>
      <c r="Q15" s="21" t="s">
        <v>225</v>
      </c>
      <c r="R15" s="67">
        <v>45517</v>
      </c>
      <c r="S15" s="21" t="s">
        <v>146</v>
      </c>
      <c r="T15" s="21" t="s">
        <v>147</v>
      </c>
      <c r="U15" s="21">
        <v>95000</v>
      </c>
      <c r="V15" s="67">
        <v>45564</v>
      </c>
      <c r="W15" s="12">
        <f t="shared" si="8"/>
        <v>1</v>
      </c>
      <c r="X15" s="12">
        <f t="shared" si="9"/>
        <v>1</v>
      </c>
      <c r="Y15" s="12">
        <f t="shared" si="10"/>
        <v>1</v>
      </c>
      <c r="Z15" s="12">
        <f t="shared" si="11"/>
        <v>1</v>
      </c>
      <c r="AA15" s="12">
        <f t="shared" si="12"/>
        <v>1</v>
      </c>
      <c r="AB15" s="12">
        <f t="shared" si="13"/>
        <v>1</v>
      </c>
      <c r="AC15" s="12">
        <f t="shared" si="14"/>
        <v>1</v>
      </c>
      <c r="AD15" s="12">
        <f t="shared" si="15"/>
        <v>1</v>
      </c>
      <c r="AE15" s="12">
        <f t="shared" si="16"/>
        <v>1</v>
      </c>
      <c r="AF15" s="12">
        <f t="shared" si="17"/>
        <v>1</v>
      </c>
      <c r="AG15" s="12">
        <f t="shared" si="18"/>
        <v>1</v>
      </c>
      <c r="AH15" s="12">
        <f t="shared" si="19"/>
        <v>1</v>
      </c>
      <c r="AI15" s="12">
        <f t="shared" si="20"/>
        <v>1</v>
      </c>
      <c r="AJ15" s="12">
        <f t="shared" si="21"/>
        <v>1</v>
      </c>
      <c r="AK15" s="12">
        <f t="shared" si="22"/>
        <v>1</v>
      </c>
      <c r="AL15" s="12">
        <f t="shared" si="23"/>
        <v>1</v>
      </c>
      <c r="AM15" s="12">
        <f t="shared" si="24"/>
        <v>1</v>
      </c>
      <c r="AN15" s="12">
        <f t="shared" si="25"/>
        <v>1</v>
      </c>
      <c r="AO15" s="12">
        <f t="shared" si="26"/>
        <v>1</v>
      </c>
      <c r="AP15" s="12">
        <f t="shared" si="27"/>
        <v>1</v>
      </c>
      <c r="AQ15" s="12">
        <f t="shared" si="28"/>
        <v>1</v>
      </c>
      <c r="AR15" s="12">
        <f t="shared" si="29"/>
        <v>1</v>
      </c>
      <c r="AS15" s="12" cm="1">
        <f t="array" ref="AS15">IF(AND(H15&lt;&gt;"",SUMPRODUCT(--ISNUMBER(FIND({0;1;2;3;4;5;6;7;8;9},H15)))=0),1,0)</f>
        <v>1</v>
      </c>
      <c r="AT15" s="12" cm="1">
        <f t="array" ref="AT15">IF(AND(I15&lt;&gt;"",SUMPRODUCT(--ISNUMBER(FIND({0;1;2;3;4;5;6;7;8;9},I15)))=0),1,0)</f>
        <v>1</v>
      </c>
      <c r="AU15" s="12" cm="1">
        <f t="array" ref="AU15">IF(AND(J15&lt;&gt;"",SUMPRODUCT(--ISNUMBER(FIND({0;1;2;3;4;5;6;7;8;9},J15)))=0),1,0)</f>
        <v>1</v>
      </c>
      <c r="AV15" s="12">
        <f t="shared" si="3"/>
        <v>1</v>
      </c>
      <c r="AW15" s="12">
        <f t="shared" ca="1" si="30"/>
        <v>1</v>
      </c>
      <c r="AX15" s="12">
        <f t="shared" si="31"/>
        <v>1</v>
      </c>
      <c r="AY15" s="12">
        <f t="shared" si="32"/>
        <v>1</v>
      </c>
      <c r="AZ15" s="12">
        <f t="shared" si="33"/>
        <v>1</v>
      </c>
      <c r="BA15" s="12">
        <f t="shared" si="34"/>
        <v>1</v>
      </c>
      <c r="BB15" s="12">
        <f t="shared" si="35"/>
        <v>1</v>
      </c>
      <c r="BC15" s="12">
        <f t="shared" ca="1" si="36"/>
        <v>1</v>
      </c>
      <c r="BD15" s="12">
        <f t="shared" si="37"/>
        <v>1</v>
      </c>
      <c r="BE15" s="12">
        <f t="shared" si="38"/>
        <v>1</v>
      </c>
      <c r="BF15" s="12">
        <f t="shared" si="39"/>
        <v>1</v>
      </c>
      <c r="BG15" s="12">
        <f t="shared" ca="1" si="40"/>
        <v>1</v>
      </c>
    </row>
    <row r="16" spans="1:59" ht="15" x14ac:dyDescent="0.2">
      <c r="A16" s="19">
        <f t="shared" si="4"/>
        <v>1</v>
      </c>
      <c r="B16" s="20">
        <f t="shared" si="5"/>
        <v>1</v>
      </c>
      <c r="C16" s="20">
        <f t="shared" ca="1" si="6"/>
        <v>1</v>
      </c>
      <c r="D16" s="50">
        <f t="shared" ca="1" si="7"/>
        <v>0</v>
      </c>
      <c r="E16" s="21" t="s">
        <v>226</v>
      </c>
      <c r="F16" s="21" t="s">
        <v>149</v>
      </c>
      <c r="G16" s="21">
        <v>1000000015</v>
      </c>
      <c r="H16" s="21" t="s">
        <v>161</v>
      </c>
      <c r="I16" s="21" t="s">
        <v>227</v>
      </c>
      <c r="J16" s="21" t="s">
        <v>151</v>
      </c>
      <c r="K16" s="21" t="s">
        <v>141</v>
      </c>
      <c r="L16" s="69">
        <v>32986</v>
      </c>
      <c r="M16" s="21" t="s">
        <v>228</v>
      </c>
      <c r="N16" s="21">
        <v>3186840972</v>
      </c>
      <c r="O16" s="21" t="s">
        <v>229</v>
      </c>
      <c r="P16" s="21" t="s">
        <v>224</v>
      </c>
      <c r="Q16" s="21" t="s">
        <v>225</v>
      </c>
      <c r="R16" s="67">
        <v>45460</v>
      </c>
      <c r="S16" s="21" t="s">
        <v>157</v>
      </c>
      <c r="T16" s="21" t="s">
        <v>147</v>
      </c>
      <c r="U16" s="21">
        <v>85000</v>
      </c>
      <c r="V16" s="67">
        <v>45672</v>
      </c>
      <c r="W16" s="12">
        <f t="shared" si="8"/>
        <v>1</v>
      </c>
      <c r="X16" s="12">
        <f t="shared" si="9"/>
        <v>1</v>
      </c>
      <c r="Y16" s="12">
        <f t="shared" si="10"/>
        <v>1</v>
      </c>
      <c r="Z16" s="12">
        <f t="shared" si="11"/>
        <v>1</v>
      </c>
      <c r="AA16" s="12">
        <f t="shared" si="12"/>
        <v>1</v>
      </c>
      <c r="AB16" s="12">
        <f t="shared" si="13"/>
        <v>1</v>
      </c>
      <c r="AC16" s="12">
        <f t="shared" si="14"/>
        <v>1</v>
      </c>
      <c r="AD16" s="12">
        <f t="shared" si="15"/>
        <v>1</v>
      </c>
      <c r="AE16" s="12">
        <f t="shared" si="16"/>
        <v>1</v>
      </c>
      <c r="AF16" s="12">
        <f t="shared" si="17"/>
        <v>1</v>
      </c>
      <c r="AG16" s="12">
        <f t="shared" si="18"/>
        <v>1</v>
      </c>
      <c r="AH16" s="12">
        <f t="shared" si="19"/>
        <v>1</v>
      </c>
      <c r="AI16" s="12">
        <f t="shared" si="20"/>
        <v>1</v>
      </c>
      <c r="AJ16" s="12">
        <f t="shared" si="21"/>
        <v>1</v>
      </c>
      <c r="AK16" s="12">
        <f t="shared" si="22"/>
        <v>1</v>
      </c>
      <c r="AL16" s="12">
        <f t="shared" si="23"/>
        <v>1</v>
      </c>
      <c r="AM16" s="12">
        <f t="shared" si="24"/>
        <v>1</v>
      </c>
      <c r="AN16" s="12">
        <f t="shared" si="25"/>
        <v>1</v>
      </c>
      <c r="AO16" s="12">
        <f t="shared" si="26"/>
        <v>1</v>
      </c>
      <c r="AP16" s="12">
        <f t="shared" si="27"/>
        <v>1</v>
      </c>
      <c r="AQ16" s="12">
        <f t="shared" si="28"/>
        <v>1</v>
      </c>
      <c r="AR16" s="12">
        <f t="shared" si="29"/>
        <v>1</v>
      </c>
      <c r="AS16" s="12" cm="1">
        <f t="array" ref="AS16">IF(AND(H16&lt;&gt;"",SUMPRODUCT(--ISNUMBER(FIND({0;1;2;3;4;5;6;7;8;9},H16)))=0),1,0)</f>
        <v>1</v>
      </c>
      <c r="AT16" s="12" cm="1">
        <f t="array" ref="AT16">IF(AND(I16&lt;&gt;"",SUMPRODUCT(--ISNUMBER(FIND({0;1;2;3;4;5;6;7;8;9},I16)))=0),1,0)</f>
        <v>1</v>
      </c>
      <c r="AU16" s="12" cm="1">
        <f t="array" ref="AU16">IF(AND(J16&lt;&gt;"",SUMPRODUCT(--ISNUMBER(FIND({0;1;2;3;4;5;6;7;8;9},J16)))=0),1,0)</f>
        <v>1</v>
      </c>
      <c r="AV16" s="12">
        <f t="shared" si="3"/>
        <v>1</v>
      </c>
      <c r="AW16" s="12">
        <f t="shared" ca="1" si="30"/>
        <v>1</v>
      </c>
      <c r="AX16" s="12">
        <f t="shared" si="31"/>
        <v>1</v>
      </c>
      <c r="AY16" s="12">
        <f t="shared" si="32"/>
        <v>1</v>
      </c>
      <c r="AZ16" s="12">
        <f t="shared" si="33"/>
        <v>1</v>
      </c>
      <c r="BA16" s="12">
        <f t="shared" si="34"/>
        <v>1</v>
      </c>
      <c r="BB16" s="12">
        <f t="shared" si="35"/>
        <v>1</v>
      </c>
      <c r="BC16" s="12">
        <f t="shared" ca="1" si="36"/>
        <v>1</v>
      </c>
      <c r="BD16" s="12">
        <f t="shared" si="37"/>
        <v>1</v>
      </c>
      <c r="BE16" s="12">
        <f t="shared" si="38"/>
        <v>1</v>
      </c>
      <c r="BF16" s="12">
        <f t="shared" si="39"/>
        <v>1</v>
      </c>
      <c r="BG16" s="12">
        <f t="shared" ca="1" si="40"/>
        <v>1</v>
      </c>
    </row>
    <row r="17" spans="1:59" ht="15" x14ac:dyDescent="0.2">
      <c r="A17" s="19">
        <f t="shared" si="4"/>
        <v>1</v>
      </c>
      <c r="B17" s="20">
        <f t="shared" si="5"/>
        <v>1</v>
      </c>
      <c r="C17" s="20">
        <f t="shared" ca="1" si="6"/>
        <v>1</v>
      </c>
      <c r="D17" s="50">
        <f t="shared" ca="1" si="7"/>
        <v>0</v>
      </c>
      <c r="E17" s="21" t="s">
        <v>230</v>
      </c>
      <c r="F17" s="21" t="s">
        <v>137</v>
      </c>
      <c r="G17" s="21">
        <v>1000000016</v>
      </c>
      <c r="H17" s="21" t="s">
        <v>176</v>
      </c>
      <c r="I17" s="21" t="s">
        <v>183</v>
      </c>
      <c r="J17" s="21" t="s">
        <v>231</v>
      </c>
      <c r="K17" s="21" t="s">
        <v>141</v>
      </c>
      <c r="L17" s="69">
        <v>30732</v>
      </c>
      <c r="M17" s="21" t="s">
        <v>232</v>
      </c>
      <c r="N17" s="21">
        <v>3530379261</v>
      </c>
      <c r="O17" s="21" t="s">
        <v>233</v>
      </c>
      <c r="P17" s="21" t="s">
        <v>172</v>
      </c>
      <c r="Q17" s="21" t="s">
        <v>173</v>
      </c>
      <c r="R17" s="67">
        <v>45620</v>
      </c>
      <c r="S17" s="21" t="s">
        <v>146</v>
      </c>
      <c r="T17" s="21" t="s">
        <v>166</v>
      </c>
      <c r="U17" s="21">
        <v>85000</v>
      </c>
      <c r="V17" s="67">
        <v>45978</v>
      </c>
      <c r="W17" s="12">
        <f t="shared" si="8"/>
        <v>1</v>
      </c>
      <c r="X17" s="12">
        <f t="shared" si="9"/>
        <v>1</v>
      </c>
      <c r="Y17" s="12">
        <f t="shared" si="10"/>
        <v>1</v>
      </c>
      <c r="Z17" s="12">
        <f t="shared" si="11"/>
        <v>1</v>
      </c>
      <c r="AA17" s="12">
        <f t="shared" si="12"/>
        <v>1</v>
      </c>
      <c r="AB17" s="12">
        <f t="shared" si="13"/>
        <v>1</v>
      </c>
      <c r="AC17" s="12">
        <f t="shared" si="14"/>
        <v>1</v>
      </c>
      <c r="AD17" s="12">
        <f t="shared" si="15"/>
        <v>1</v>
      </c>
      <c r="AE17" s="12">
        <f t="shared" si="16"/>
        <v>1</v>
      </c>
      <c r="AF17" s="12">
        <f t="shared" si="17"/>
        <v>1</v>
      </c>
      <c r="AG17" s="12">
        <f t="shared" si="18"/>
        <v>1</v>
      </c>
      <c r="AH17" s="12">
        <f t="shared" si="19"/>
        <v>1</v>
      </c>
      <c r="AI17" s="12">
        <f t="shared" si="20"/>
        <v>1</v>
      </c>
      <c r="AJ17" s="12">
        <f t="shared" si="21"/>
        <v>1</v>
      </c>
      <c r="AK17" s="12">
        <f t="shared" si="22"/>
        <v>1</v>
      </c>
      <c r="AL17" s="12">
        <f t="shared" si="23"/>
        <v>1</v>
      </c>
      <c r="AM17" s="12">
        <f t="shared" si="24"/>
        <v>1</v>
      </c>
      <c r="AN17" s="12">
        <f t="shared" si="25"/>
        <v>1</v>
      </c>
      <c r="AO17" s="12">
        <f t="shared" si="26"/>
        <v>1</v>
      </c>
      <c r="AP17" s="12">
        <f t="shared" si="27"/>
        <v>1</v>
      </c>
      <c r="AQ17" s="12">
        <f t="shared" si="28"/>
        <v>1</v>
      </c>
      <c r="AR17" s="12">
        <f t="shared" si="29"/>
        <v>1</v>
      </c>
      <c r="AS17" s="12" cm="1">
        <f t="array" ref="AS17">IF(AND(H17&lt;&gt;"",SUMPRODUCT(--ISNUMBER(FIND({0;1;2;3;4;5;6;7;8;9},H17)))=0),1,0)</f>
        <v>1</v>
      </c>
      <c r="AT17" s="12" cm="1">
        <f t="array" ref="AT17">IF(AND(I17&lt;&gt;"",SUMPRODUCT(--ISNUMBER(FIND({0;1;2;3;4;5;6;7;8;9},I17)))=0),1,0)</f>
        <v>1</v>
      </c>
      <c r="AU17" s="12" cm="1">
        <f t="array" ref="AU17">IF(AND(J17&lt;&gt;"",SUMPRODUCT(--ISNUMBER(FIND({0;1;2;3;4;5;6;7;8;9},J17)))=0),1,0)</f>
        <v>1</v>
      </c>
      <c r="AV17" s="12">
        <f t="shared" si="3"/>
        <v>1</v>
      </c>
      <c r="AW17" s="12">
        <f t="shared" ca="1" si="30"/>
        <v>1</v>
      </c>
      <c r="AX17" s="12">
        <f t="shared" si="31"/>
        <v>1</v>
      </c>
      <c r="AY17" s="12">
        <f t="shared" si="32"/>
        <v>1</v>
      </c>
      <c r="AZ17" s="12">
        <f t="shared" si="33"/>
        <v>1</v>
      </c>
      <c r="BA17" s="12">
        <f t="shared" si="34"/>
        <v>1</v>
      </c>
      <c r="BB17" s="12">
        <f t="shared" si="35"/>
        <v>1</v>
      </c>
      <c r="BC17" s="12">
        <f t="shared" ca="1" si="36"/>
        <v>1</v>
      </c>
      <c r="BD17" s="12">
        <f t="shared" si="37"/>
        <v>1</v>
      </c>
      <c r="BE17" s="12">
        <f t="shared" si="38"/>
        <v>1</v>
      </c>
      <c r="BF17" s="12">
        <f t="shared" si="39"/>
        <v>1</v>
      </c>
      <c r="BG17" s="12">
        <f t="shared" ca="1" si="40"/>
        <v>1</v>
      </c>
    </row>
    <row r="18" spans="1:59" ht="15" x14ac:dyDescent="0.2">
      <c r="A18" s="19">
        <f t="shared" si="4"/>
        <v>1</v>
      </c>
      <c r="B18" s="20">
        <f t="shared" si="5"/>
        <v>1</v>
      </c>
      <c r="C18" s="20">
        <f t="shared" ca="1" si="6"/>
        <v>1</v>
      </c>
      <c r="D18" s="50">
        <f t="shared" ca="1" si="7"/>
        <v>0</v>
      </c>
      <c r="E18" s="21" t="s">
        <v>234</v>
      </c>
      <c r="F18" s="21" t="s">
        <v>149</v>
      </c>
      <c r="G18" s="21">
        <v>1000000017</v>
      </c>
      <c r="H18" s="21" t="s">
        <v>193</v>
      </c>
      <c r="I18" s="21" t="s">
        <v>194</v>
      </c>
      <c r="J18" s="21" t="s">
        <v>235</v>
      </c>
      <c r="K18" s="21" t="s">
        <v>185</v>
      </c>
      <c r="L18" s="69">
        <v>34214</v>
      </c>
      <c r="M18" s="21" t="s">
        <v>236</v>
      </c>
      <c r="N18" s="21">
        <v>3236164789</v>
      </c>
      <c r="O18" s="21" t="s">
        <v>237</v>
      </c>
      <c r="P18" s="21" t="s">
        <v>155</v>
      </c>
      <c r="Q18" s="21" t="s">
        <v>156</v>
      </c>
      <c r="R18" s="67">
        <v>45097</v>
      </c>
      <c r="S18" s="21" t="s">
        <v>157</v>
      </c>
      <c r="T18" s="21" t="s">
        <v>147</v>
      </c>
      <c r="U18" s="21">
        <v>95000</v>
      </c>
      <c r="V18" s="67">
        <v>45362</v>
      </c>
      <c r="W18" s="12">
        <f t="shared" si="8"/>
        <v>1</v>
      </c>
      <c r="X18" s="12">
        <f t="shared" si="9"/>
        <v>1</v>
      </c>
      <c r="Y18" s="12">
        <f t="shared" si="10"/>
        <v>1</v>
      </c>
      <c r="Z18" s="12">
        <f t="shared" si="11"/>
        <v>1</v>
      </c>
      <c r="AA18" s="12">
        <f t="shared" si="12"/>
        <v>1</v>
      </c>
      <c r="AB18" s="12">
        <f t="shared" si="13"/>
        <v>1</v>
      </c>
      <c r="AC18" s="12">
        <f t="shared" si="14"/>
        <v>1</v>
      </c>
      <c r="AD18" s="12">
        <f t="shared" si="15"/>
        <v>1</v>
      </c>
      <c r="AE18" s="12">
        <f t="shared" si="16"/>
        <v>1</v>
      </c>
      <c r="AF18" s="12">
        <f t="shared" si="17"/>
        <v>1</v>
      </c>
      <c r="AG18" s="12">
        <f t="shared" si="18"/>
        <v>1</v>
      </c>
      <c r="AH18" s="12">
        <f t="shared" si="19"/>
        <v>1</v>
      </c>
      <c r="AI18" s="12">
        <f t="shared" si="20"/>
        <v>1</v>
      </c>
      <c r="AJ18" s="12">
        <f t="shared" si="21"/>
        <v>1</v>
      </c>
      <c r="AK18" s="12">
        <f t="shared" si="22"/>
        <v>1</v>
      </c>
      <c r="AL18" s="12">
        <f t="shared" si="23"/>
        <v>1</v>
      </c>
      <c r="AM18" s="12">
        <f t="shared" si="24"/>
        <v>1</v>
      </c>
      <c r="AN18" s="12">
        <f t="shared" si="25"/>
        <v>1</v>
      </c>
      <c r="AO18" s="12">
        <f t="shared" si="26"/>
        <v>1</v>
      </c>
      <c r="AP18" s="12">
        <f t="shared" si="27"/>
        <v>1</v>
      </c>
      <c r="AQ18" s="12">
        <f t="shared" si="28"/>
        <v>1</v>
      </c>
      <c r="AR18" s="12">
        <f t="shared" si="29"/>
        <v>1</v>
      </c>
      <c r="AS18" s="12" cm="1">
        <f t="array" ref="AS18">IF(AND(H18&lt;&gt;"",SUMPRODUCT(--ISNUMBER(FIND({0;1;2;3;4;5;6;7;8;9},H18)))=0),1,0)</f>
        <v>1</v>
      </c>
      <c r="AT18" s="12" cm="1">
        <f t="array" ref="AT18">IF(AND(I18&lt;&gt;"",SUMPRODUCT(--ISNUMBER(FIND({0;1;2;3;4;5;6;7;8;9},I18)))=0),1,0)</f>
        <v>1</v>
      </c>
      <c r="AU18" s="12" cm="1">
        <f t="array" ref="AU18">IF(AND(J18&lt;&gt;"",SUMPRODUCT(--ISNUMBER(FIND({0;1;2;3;4;5;6;7;8;9},J18)))=0),1,0)</f>
        <v>1</v>
      </c>
      <c r="AV18" s="12">
        <f t="shared" si="3"/>
        <v>1</v>
      </c>
      <c r="AW18" s="12">
        <f t="shared" ca="1" si="30"/>
        <v>1</v>
      </c>
      <c r="AX18" s="12">
        <f t="shared" si="31"/>
        <v>1</v>
      </c>
      <c r="AY18" s="12">
        <f t="shared" si="32"/>
        <v>1</v>
      </c>
      <c r="AZ18" s="12">
        <f t="shared" si="33"/>
        <v>1</v>
      </c>
      <c r="BA18" s="12">
        <f t="shared" si="34"/>
        <v>1</v>
      </c>
      <c r="BB18" s="12">
        <f t="shared" si="35"/>
        <v>1</v>
      </c>
      <c r="BC18" s="12">
        <f t="shared" ca="1" si="36"/>
        <v>1</v>
      </c>
      <c r="BD18" s="12">
        <f t="shared" si="37"/>
        <v>1</v>
      </c>
      <c r="BE18" s="12">
        <f t="shared" si="38"/>
        <v>1</v>
      </c>
      <c r="BF18" s="12">
        <f t="shared" si="39"/>
        <v>1</v>
      </c>
      <c r="BG18" s="12">
        <f t="shared" ca="1" si="40"/>
        <v>1</v>
      </c>
    </row>
    <row r="19" spans="1:59" ht="15" x14ac:dyDescent="0.2">
      <c r="A19" s="19">
        <f t="shared" si="4"/>
        <v>1</v>
      </c>
      <c r="B19" s="20">
        <f t="shared" si="5"/>
        <v>1</v>
      </c>
      <c r="C19" s="20">
        <f t="shared" ca="1" si="6"/>
        <v>1</v>
      </c>
      <c r="D19" s="50">
        <f t="shared" ca="1" si="7"/>
        <v>0</v>
      </c>
      <c r="E19" s="21" t="s">
        <v>238</v>
      </c>
      <c r="F19" s="21" t="s">
        <v>149</v>
      </c>
      <c r="G19" s="21">
        <v>1000000018</v>
      </c>
      <c r="H19" s="21" t="s">
        <v>193</v>
      </c>
      <c r="I19" s="21" t="s">
        <v>184</v>
      </c>
      <c r="J19" s="21" t="s">
        <v>195</v>
      </c>
      <c r="K19" s="21" t="s">
        <v>185</v>
      </c>
      <c r="L19" s="69">
        <v>37222</v>
      </c>
      <c r="M19" s="21" t="s">
        <v>239</v>
      </c>
      <c r="N19" s="21">
        <v>3958295168</v>
      </c>
      <c r="O19" s="21" t="s">
        <v>240</v>
      </c>
      <c r="P19" s="21" t="s">
        <v>172</v>
      </c>
      <c r="Q19" s="21" t="s">
        <v>173</v>
      </c>
      <c r="R19" s="67">
        <v>44636</v>
      </c>
      <c r="S19" s="21" t="s">
        <v>174</v>
      </c>
      <c r="T19" s="21" t="s">
        <v>147</v>
      </c>
      <c r="U19" s="21">
        <v>85000</v>
      </c>
      <c r="V19" s="67">
        <v>44636</v>
      </c>
      <c r="W19" s="12">
        <f t="shared" si="8"/>
        <v>1</v>
      </c>
      <c r="X19" s="12">
        <f t="shared" si="9"/>
        <v>1</v>
      </c>
      <c r="Y19" s="12">
        <f t="shared" si="10"/>
        <v>1</v>
      </c>
      <c r="Z19" s="12">
        <f t="shared" si="11"/>
        <v>1</v>
      </c>
      <c r="AA19" s="12">
        <f t="shared" si="12"/>
        <v>1</v>
      </c>
      <c r="AB19" s="12">
        <f t="shared" si="13"/>
        <v>1</v>
      </c>
      <c r="AC19" s="12">
        <f t="shared" si="14"/>
        <v>1</v>
      </c>
      <c r="AD19" s="12">
        <f t="shared" si="15"/>
        <v>1</v>
      </c>
      <c r="AE19" s="12">
        <f t="shared" si="16"/>
        <v>1</v>
      </c>
      <c r="AF19" s="12">
        <f t="shared" si="17"/>
        <v>1</v>
      </c>
      <c r="AG19" s="12">
        <f t="shared" si="18"/>
        <v>1</v>
      </c>
      <c r="AH19" s="12">
        <f t="shared" si="19"/>
        <v>1</v>
      </c>
      <c r="AI19" s="12">
        <f t="shared" si="20"/>
        <v>1</v>
      </c>
      <c r="AJ19" s="12">
        <f t="shared" si="21"/>
        <v>1</v>
      </c>
      <c r="AK19" s="12">
        <f t="shared" si="22"/>
        <v>1</v>
      </c>
      <c r="AL19" s="12">
        <f t="shared" si="23"/>
        <v>1</v>
      </c>
      <c r="AM19" s="12">
        <f t="shared" si="24"/>
        <v>1</v>
      </c>
      <c r="AN19" s="12">
        <f t="shared" si="25"/>
        <v>1</v>
      </c>
      <c r="AO19" s="12">
        <f t="shared" si="26"/>
        <v>1</v>
      </c>
      <c r="AP19" s="12">
        <f t="shared" si="27"/>
        <v>1</v>
      </c>
      <c r="AQ19" s="12">
        <f t="shared" si="28"/>
        <v>1</v>
      </c>
      <c r="AR19" s="12">
        <f t="shared" si="29"/>
        <v>1</v>
      </c>
      <c r="AS19" s="12" cm="1">
        <f t="array" ref="AS19">IF(AND(H19&lt;&gt;"",SUMPRODUCT(--ISNUMBER(FIND({0;1;2;3;4;5;6;7;8;9},H19)))=0),1,0)</f>
        <v>1</v>
      </c>
      <c r="AT19" s="12" cm="1">
        <f t="array" ref="AT19">IF(AND(I19&lt;&gt;"",SUMPRODUCT(--ISNUMBER(FIND({0;1;2;3;4;5;6;7;8;9},I19)))=0),1,0)</f>
        <v>1</v>
      </c>
      <c r="AU19" s="12" cm="1">
        <f t="array" ref="AU19">IF(AND(J19&lt;&gt;"",SUMPRODUCT(--ISNUMBER(FIND({0;1;2;3;4;5;6;7;8;9},J19)))=0),1,0)</f>
        <v>1</v>
      </c>
      <c r="AV19" s="12">
        <f t="shared" si="3"/>
        <v>1</v>
      </c>
      <c r="AW19" s="12">
        <f t="shared" ca="1" si="30"/>
        <v>1</v>
      </c>
      <c r="AX19" s="12">
        <f t="shared" si="31"/>
        <v>1</v>
      </c>
      <c r="AY19" s="12">
        <f t="shared" si="32"/>
        <v>1</v>
      </c>
      <c r="AZ19" s="12">
        <f t="shared" si="33"/>
        <v>1</v>
      </c>
      <c r="BA19" s="12">
        <f t="shared" si="34"/>
        <v>1</v>
      </c>
      <c r="BB19" s="12">
        <f t="shared" si="35"/>
        <v>1</v>
      </c>
      <c r="BC19" s="12">
        <f t="shared" ca="1" si="36"/>
        <v>1</v>
      </c>
      <c r="BD19" s="12">
        <f t="shared" si="37"/>
        <v>1</v>
      </c>
      <c r="BE19" s="12">
        <f t="shared" si="38"/>
        <v>1</v>
      </c>
      <c r="BF19" s="12">
        <f t="shared" si="39"/>
        <v>1</v>
      </c>
      <c r="BG19" s="12">
        <f t="shared" ca="1" si="40"/>
        <v>1</v>
      </c>
    </row>
    <row r="20" spans="1:59" ht="15" x14ac:dyDescent="0.2">
      <c r="A20" s="19">
        <f t="shared" si="4"/>
        <v>1</v>
      </c>
      <c r="B20" s="20">
        <f t="shared" si="5"/>
        <v>1</v>
      </c>
      <c r="C20" s="20">
        <f t="shared" ca="1" si="6"/>
        <v>1</v>
      </c>
      <c r="D20" s="50">
        <f t="shared" ca="1" si="7"/>
        <v>0</v>
      </c>
      <c r="E20" s="21" t="s">
        <v>241</v>
      </c>
      <c r="F20" s="21" t="s">
        <v>149</v>
      </c>
      <c r="G20" s="21">
        <v>1000000019</v>
      </c>
      <c r="H20" s="21" t="s">
        <v>242</v>
      </c>
      <c r="I20" s="21" t="s">
        <v>195</v>
      </c>
      <c r="J20" s="21" t="s">
        <v>231</v>
      </c>
      <c r="K20" s="21" t="s">
        <v>185</v>
      </c>
      <c r="L20" s="69">
        <v>25102</v>
      </c>
      <c r="M20" s="21" t="s">
        <v>243</v>
      </c>
      <c r="N20" s="21">
        <v>3856653987</v>
      </c>
      <c r="O20" s="21" t="s">
        <v>244</v>
      </c>
      <c r="P20" s="21" t="s">
        <v>224</v>
      </c>
      <c r="Q20" s="21" t="s">
        <v>225</v>
      </c>
      <c r="R20" s="67">
        <v>44577</v>
      </c>
      <c r="S20" s="21" t="s">
        <v>174</v>
      </c>
      <c r="T20" s="21" t="s">
        <v>158</v>
      </c>
      <c r="U20" s="21">
        <v>75000</v>
      </c>
      <c r="V20" s="67">
        <v>44793</v>
      </c>
      <c r="W20" s="12">
        <f t="shared" si="8"/>
        <v>1</v>
      </c>
      <c r="X20" s="12">
        <f t="shared" si="9"/>
        <v>1</v>
      </c>
      <c r="Y20" s="12">
        <f t="shared" si="10"/>
        <v>1</v>
      </c>
      <c r="Z20" s="12">
        <f t="shared" si="11"/>
        <v>1</v>
      </c>
      <c r="AA20" s="12">
        <f t="shared" si="12"/>
        <v>1</v>
      </c>
      <c r="AB20" s="12">
        <f t="shared" si="13"/>
        <v>1</v>
      </c>
      <c r="AC20" s="12">
        <f t="shared" si="14"/>
        <v>1</v>
      </c>
      <c r="AD20" s="12">
        <f t="shared" si="15"/>
        <v>1</v>
      </c>
      <c r="AE20" s="12">
        <f t="shared" si="16"/>
        <v>1</v>
      </c>
      <c r="AF20" s="12">
        <f t="shared" si="17"/>
        <v>1</v>
      </c>
      <c r="AG20" s="12">
        <f t="shared" si="18"/>
        <v>1</v>
      </c>
      <c r="AH20" s="12">
        <f t="shared" si="19"/>
        <v>1</v>
      </c>
      <c r="AI20" s="12">
        <f t="shared" si="20"/>
        <v>1</v>
      </c>
      <c r="AJ20" s="12">
        <f t="shared" si="21"/>
        <v>1</v>
      </c>
      <c r="AK20" s="12">
        <f t="shared" si="22"/>
        <v>1</v>
      </c>
      <c r="AL20" s="12">
        <f t="shared" si="23"/>
        <v>1</v>
      </c>
      <c r="AM20" s="12">
        <f t="shared" si="24"/>
        <v>1</v>
      </c>
      <c r="AN20" s="12">
        <f t="shared" si="25"/>
        <v>1</v>
      </c>
      <c r="AO20" s="12">
        <f t="shared" si="26"/>
        <v>1</v>
      </c>
      <c r="AP20" s="12">
        <f t="shared" si="27"/>
        <v>1</v>
      </c>
      <c r="AQ20" s="12">
        <f t="shared" si="28"/>
        <v>1</v>
      </c>
      <c r="AR20" s="12">
        <f t="shared" si="29"/>
        <v>1</v>
      </c>
      <c r="AS20" s="12" cm="1">
        <f t="array" ref="AS20">IF(AND(H20&lt;&gt;"",SUMPRODUCT(--ISNUMBER(FIND({0;1;2;3;4;5;6;7;8;9},H20)))=0),1,0)</f>
        <v>1</v>
      </c>
      <c r="AT20" s="12" cm="1">
        <f t="array" ref="AT20">IF(AND(I20&lt;&gt;"",SUMPRODUCT(--ISNUMBER(FIND({0;1;2;3;4;5;6;7;8;9},I20)))=0),1,0)</f>
        <v>1</v>
      </c>
      <c r="AU20" s="12" cm="1">
        <f t="array" ref="AU20">IF(AND(J20&lt;&gt;"",SUMPRODUCT(--ISNUMBER(FIND({0;1;2;3;4;5;6;7;8;9},J20)))=0),1,0)</f>
        <v>1</v>
      </c>
      <c r="AV20" s="12">
        <f t="shared" si="3"/>
        <v>1</v>
      </c>
      <c r="AW20" s="12">
        <f t="shared" ca="1" si="30"/>
        <v>1</v>
      </c>
      <c r="AX20" s="12">
        <f t="shared" si="31"/>
        <v>1</v>
      </c>
      <c r="AY20" s="12">
        <f t="shared" si="32"/>
        <v>1</v>
      </c>
      <c r="AZ20" s="12">
        <f t="shared" si="33"/>
        <v>1</v>
      </c>
      <c r="BA20" s="12">
        <f t="shared" si="34"/>
        <v>1</v>
      </c>
      <c r="BB20" s="12">
        <f t="shared" si="35"/>
        <v>1</v>
      </c>
      <c r="BC20" s="12">
        <f t="shared" ca="1" si="36"/>
        <v>1</v>
      </c>
      <c r="BD20" s="12">
        <f t="shared" si="37"/>
        <v>1</v>
      </c>
      <c r="BE20" s="12">
        <f t="shared" si="38"/>
        <v>1</v>
      </c>
      <c r="BF20" s="12">
        <f t="shared" si="39"/>
        <v>1</v>
      </c>
      <c r="BG20" s="12">
        <f t="shared" ca="1" si="40"/>
        <v>1</v>
      </c>
    </row>
    <row r="21" spans="1:59" ht="15.75" customHeight="1" x14ac:dyDescent="0.2">
      <c r="A21" s="19">
        <f t="shared" si="4"/>
        <v>1</v>
      </c>
      <c r="B21" s="20">
        <f t="shared" si="5"/>
        <v>1</v>
      </c>
      <c r="C21" s="20">
        <f t="shared" ca="1" si="6"/>
        <v>1</v>
      </c>
      <c r="D21" s="50">
        <f t="shared" ref="D21:D84" ca="1" si="41">IF(SUM(A21:C21)&lt;3,1,0)</f>
        <v>0</v>
      </c>
      <c r="E21" s="11" t="s">
        <v>245</v>
      </c>
      <c r="F21" s="11" t="s">
        <v>149</v>
      </c>
      <c r="G21" s="11">
        <v>1000000020</v>
      </c>
      <c r="H21" s="11" t="s">
        <v>199</v>
      </c>
      <c r="I21" s="11" t="s">
        <v>139</v>
      </c>
      <c r="J21" s="11" t="s">
        <v>195</v>
      </c>
      <c r="K21" s="11" t="s">
        <v>185</v>
      </c>
      <c r="L21" s="70">
        <v>32516</v>
      </c>
      <c r="M21" s="11" t="s">
        <v>246</v>
      </c>
      <c r="N21" s="11">
        <v>3254881473</v>
      </c>
      <c r="O21" s="11" t="s">
        <v>247</v>
      </c>
      <c r="P21" s="11" t="s">
        <v>248</v>
      </c>
      <c r="Q21" s="11" t="s">
        <v>249</v>
      </c>
      <c r="R21" s="68">
        <v>45625</v>
      </c>
      <c r="S21" s="11" t="s">
        <v>146</v>
      </c>
      <c r="T21" s="11" t="s">
        <v>147</v>
      </c>
      <c r="U21" s="11">
        <v>75000</v>
      </c>
      <c r="V21" s="68">
        <v>45676</v>
      </c>
      <c r="W21" s="12">
        <f t="shared" si="8"/>
        <v>1</v>
      </c>
      <c r="X21" s="12">
        <f t="shared" si="9"/>
        <v>1</v>
      </c>
      <c r="Y21" s="12">
        <f t="shared" si="10"/>
        <v>1</v>
      </c>
      <c r="Z21" s="12">
        <f t="shared" si="11"/>
        <v>1</v>
      </c>
      <c r="AA21" s="12">
        <f t="shared" si="12"/>
        <v>1</v>
      </c>
      <c r="AB21" s="12">
        <f t="shared" si="13"/>
        <v>1</v>
      </c>
      <c r="AC21" s="12">
        <f t="shared" si="14"/>
        <v>1</v>
      </c>
      <c r="AD21" s="12">
        <f t="shared" ref="AD21:AD84" si="42">IF(K21="",0,1)</f>
        <v>1</v>
      </c>
      <c r="AE21" s="12">
        <f t="shared" ref="AE21:AE84" si="43">IF(L21="",0,1)</f>
        <v>1</v>
      </c>
      <c r="AF21" s="12">
        <f t="shared" ref="AF21:AF84" si="44">IF(M21="",0,1)</f>
        <v>1</v>
      </c>
      <c r="AG21" s="12">
        <f t="shared" ref="AG21:AG84" si="45">IF(N21="",0,1)</f>
        <v>1</v>
      </c>
      <c r="AH21" s="12">
        <f t="shared" ref="AH21:AH84" si="46">IF(O21="",0,1)</f>
        <v>1</v>
      </c>
      <c r="AI21" s="12">
        <f t="shared" ref="AI21:AI84" si="47">IF(P21="",0,1)</f>
        <v>1</v>
      </c>
      <c r="AJ21" s="12">
        <f t="shared" ref="AJ21:AJ84" si="48">IF(Q21="",0,1)</f>
        <v>1</v>
      </c>
      <c r="AK21" s="12">
        <f t="shared" ref="AK21:AK84" si="49">IF(R21="",0,1)</f>
        <v>1</v>
      </c>
      <c r="AL21" s="12">
        <f t="shared" ref="AL21:AL84" si="50">IF(S21="",0,1)</f>
        <v>1</v>
      </c>
      <c r="AM21" s="12">
        <f t="shared" si="24"/>
        <v>1</v>
      </c>
      <c r="AN21" s="12">
        <f t="shared" si="25"/>
        <v>1</v>
      </c>
      <c r="AO21" s="12">
        <f t="shared" si="26"/>
        <v>1</v>
      </c>
      <c r="AP21" s="12">
        <f t="shared" si="27"/>
        <v>1</v>
      </c>
      <c r="AQ21" s="12">
        <f t="shared" si="28"/>
        <v>1</v>
      </c>
      <c r="AR21" s="12">
        <f t="shared" si="29"/>
        <v>1</v>
      </c>
      <c r="AS21" s="12" cm="1">
        <f t="array" ref="AS21">IF(AND(H21&lt;&gt;"",SUMPRODUCT(--ISNUMBER(FIND({0;1;2;3;4;5;6;7;8;9},H21)))=0),1,0)</f>
        <v>1</v>
      </c>
      <c r="AT21" s="12" cm="1">
        <f t="array" ref="AT21">IF(AND(I21&lt;&gt;"",SUMPRODUCT(--ISNUMBER(FIND({0;1;2;3;4;5;6;7;8;9},I21)))=0),1,0)</f>
        <v>1</v>
      </c>
      <c r="AU21" s="12" cm="1">
        <f t="array" ref="AU21">IF(AND(J21&lt;&gt;"",SUMPRODUCT(--ISNUMBER(FIND({0;1;2;3;4;5;6;7;8;9},J21)))=0),1,0)</f>
        <v>1</v>
      </c>
      <c r="AV21" s="12">
        <f t="shared" ref="AV21:AV84" si="51">IF(OR(ISBLANK(K21),K21=""),1,IF(ISTEXT(K21),1,0))</f>
        <v>1</v>
      </c>
      <c r="AW21" s="12">
        <f t="shared" ca="1" si="30"/>
        <v>1</v>
      </c>
      <c r="AX21" s="12">
        <f t="shared" si="31"/>
        <v>1</v>
      </c>
      <c r="AY21" s="12">
        <f t="shared" si="32"/>
        <v>1</v>
      </c>
      <c r="AZ21" s="12">
        <f t="shared" si="33"/>
        <v>1</v>
      </c>
      <c r="BA21" s="12">
        <f t="shared" si="34"/>
        <v>1</v>
      </c>
      <c r="BB21" s="12">
        <f t="shared" si="35"/>
        <v>1</v>
      </c>
      <c r="BC21" s="12">
        <f t="shared" ca="1" si="36"/>
        <v>1</v>
      </c>
      <c r="BD21" s="12">
        <f t="shared" si="37"/>
        <v>1</v>
      </c>
      <c r="BE21" s="12">
        <f t="shared" si="38"/>
        <v>1</v>
      </c>
      <c r="BF21" s="12">
        <f t="shared" si="39"/>
        <v>1</v>
      </c>
      <c r="BG21" s="12">
        <f t="shared" ca="1" si="40"/>
        <v>1</v>
      </c>
    </row>
    <row r="22" spans="1:59" ht="15.75" customHeight="1" x14ac:dyDescent="0.2">
      <c r="A22" s="19">
        <f t="shared" si="4"/>
        <v>1</v>
      </c>
      <c r="B22" s="20">
        <f t="shared" si="5"/>
        <v>1</v>
      </c>
      <c r="C22" s="20">
        <f t="shared" ca="1" si="6"/>
        <v>1</v>
      </c>
      <c r="D22" s="50">
        <f t="shared" ca="1" si="41"/>
        <v>0</v>
      </c>
      <c r="E22" s="11" t="s">
        <v>250</v>
      </c>
      <c r="F22" s="11" t="s">
        <v>160</v>
      </c>
      <c r="G22" s="11">
        <v>1000000021</v>
      </c>
      <c r="H22" s="11" t="s">
        <v>251</v>
      </c>
      <c r="I22" s="11" t="s">
        <v>169</v>
      </c>
      <c r="J22" s="11" t="s">
        <v>184</v>
      </c>
      <c r="K22" s="11" t="s">
        <v>185</v>
      </c>
      <c r="L22" s="70">
        <v>32127</v>
      </c>
      <c r="M22" s="11" t="s">
        <v>252</v>
      </c>
      <c r="N22" s="11">
        <v>3475621098</v>
      </c>
      <c r="O22" s="11" t="s">
        <v>253</v>
      </c>
      <c r="P22" s="11" t="s">
        <v>224</v>
      </c>
      <c r="Q22" s="11" t="s">
        <v>225</v>
      </c>
      <c r="R22" s="68">
        <v>44725</v>
      </c>
      <c r="S22" s="11" t="s">
        <v>146</v>
      </c>
      <c r="T22" s="11" t="s">
        <v>158</v>
      </c>
      <c r="U22" s="11">
        <v>90000</v>
      </c>
      <c r="V22" s="68">
        <v>44988</v>
      </c>
      <c r="W22" s="12">
        <f t="shared" si="8"/>
        <v>1</v>
      </c>
      <c r="X22" s="12">
        <f t="shared" si="9"/>
        <v>1</v>
      </c>
      <c r="Y22" s="12">
        <f t="shared" si="10"/>
        <v>1</v>
      </c>
      <c r="Z22" s="12">
        <f t="shared" si="11"/>
        <v>1</v>
      </c>
      <c r="AA22" s="12">
        <f t="shared" si="12"/>
        <v>1</v>
      </c>
      <c r="AB22" s="12">
        <f t="shared" si="13"/>
        <v>1</v>
      </c>
      <c r="AC22" s="12">
        <f t="shared" si="14"/>
        <v>1</v>
      </c>
      <c r="AD22" s="12">
        <f t="shared" si="42"/>
        <v>1</v>
      </c>
      <c r="AE22" s="12">
        <f t="shared" si="43"/>
        <v>1</v>
      </c>
      <c r="AF22" s="12">
        <f t="shared" si="44"/>
        <v>1</v>
      </c>
      <c r="AG22" s="12">
        <f t="shared" si="45"/>
        <v>1</v>
      </c>
      <c r="AH22" s="12">
        <f t="shared" si="46"/>
        <v>1</v>
      </c>
      <c r="AI22" s="12">
        <f t="shared" si="47"/>
        <v>1</v>
      </c>
      <c r="AJ22" s="12">
        <f t="shared" si="48"/>
        <v>1</v>
      </c>
      <c r="AK22" s="12">
        <f t="shared" si="49"/>
        <v>1</v>
      </c>
      <c r="AL22" s="12">
        <f t="shared" si="50"/>
        <v>1</v>
      </c>
      <c r="AM22" s="12">
        <f t="shared" si="24"/>
        <v>1</v>
      </c>
      <c r="AN22" s="12">
        <f t="shared" si="25"/>
        <v>1</v>
      </c>
      <c r="AO22" s="12">
        <f t="shared" si="26"/>
        <v>1</v>
      </c>
      <c r="AP22" s="12">
        <f t="shared" si="27"/>
        <v>1</v>
      </c>
      <c r="AQ22" s="12">
        <f t="shared" si="28"/>
        <v>1</v>
      </c>
      <c r="AR22" s="12">
        <f t="shared" si="29"/>
        <v>1</v>
      </c>
      <c r="AS22" s="12" cm="1">
        <f t="array" ref="AS22">IF(AND(H22&lt;&gt;"",SUMPRODUCT(--ISNUMBER(FIND({0;1;2;3;4;5;6;7;8;9},H22)))=0),1,0)</f>
        <v>1</v>
      </c>
      <c r="AT22" s="12" cm="1">
        <f t="array" ref="AT22">IF(AND(I22&lt;&gt;"",SUMPRODUCT(--ISNUMBER(FIND({0;1;2;3;4;5;6;7;8;9},I22)))=0),1,0)</f>
        <v>1</v>
      </c>
      <c r="AU22" s="12" cm="1">
        <f t="array" ref="AU22">IF(AND(J22&lt;&gt;"",SUMPRODUCT(--ISNUMBER(FIND({0;1;2;3;4;5;6;7;8;9},J22)))=0),1,0)</f>
        <v>1</v>
      </c>
      <c r="AV22" s="12">
        <f t="shared" si="51"/>
        <v>1</v>
      </c>
      <c r="AW22" s="12">
        <f t="shared" ca="1" si="30"/>
        <v>1</v>
      </c>
      <c r="AX22" s="12">
        <f t="shared" si="31"/>
        <v>1</v>
      </c>
      <c r="AY22" s="12">
        <f t="shared" si="32"/>
        <v>1</v>
      </c>
      <c r="AZ22" s="12">
        <f t="shared" si="33"/>
        <v>1</v>
      </c>
      <c r="BA22" s="12">
        <f t="shared" si="34"/>
        <v>1</v>
      </c>
      <c r="BB22" s="12">
        <f t="shared" si="35"/>
        <v>1</v>
      </c>
      <c r="BC22" s="12">
        <f t="shared" ca="1" si="36"/>
        <v>1</v>
      </c>
      <c r="BD22" s="12">
        <f t="shared" si="37"/>
        <v>1</v>
      </c>
      <c r="BE22" s="12">
        <f t="shared" si="38"/>
        <v>1</v>
      </c>
      <c r="BF22" s="12">
        <f t="shared" si="39"/>
        <v>1</v>
      </c>
      <c r="BG22" s="12">
        <f t="shared" ca="1" si="40"/>
        <v>1</v>
      </c>
    </row>
    <row r="23" spans="1:59" ht="15.75" customHeight="1" x14ac:dyDescent="0.2">
      <c r="A23" s="19">
        <f t="shared" si="4"/>
        <v>1</v>
      </c>
      <c r="B23" s="20">
        <f t="shared" si="5"/>
        <v>1</v>
      </c>
      <c r="C23" s="20">
        <f t="shared" ca="1" si="6"/>
        <v>1</v>
      </c>
      <c r="D23" s="50">
        <f t="shared" ca="1" si="41"/>
        <v>0</v>
      </c>
      <c r="E23" s="11" t="s">
        <v>254</v>
      </c>
      <c r="F23" s="11" t="s">
        <v>160</v>
      </c>
      <c r="G23" s="11">
        <v>1000000022</v>
      </c>
      <c r="H23" s="11" t="s">
        <v>255</v>
      </c>
      <c r="I23" s="11" t="s">
        <v>256</v>
      </c>
      <c r="J23" s="11" t="s">
        <v>227</v>
      </c>
      <c r="K23" s="11" t="s">
        <v>141</v>
      </c>
      <c r="L23" s="70">
        <v>32299</v>
      </c>
      <c r="M23" s="11" t="s">
        <v>257</v>
      </c>
      <c r="N23" s="11">
        <v>3406103846</v>
      </c>
      <c r="O23" s="11" t="s">
        <v>258</v>
      </c>
      <c r="P23" s="11" t="s">
        <v>165</v>
      </c>
      <c r="Q23" s="11" t="s">
        <v>156</v>
      </c>
      <c r="R23" s="68">
        <v>44900</v>
      </c>
      <c r="S23" s="11" t="s">
        <v>157</v>
      </c>
      <c r="T23" s="11" t="s">
        <v>166</v>
      </c>
      <c r="U23" s="11">
        <v>85000</v>
      </c>
      <c r="V23" s="68">
        <v>45175</v>
      </c>
      <c r="W23" s="12">
        <f t="shared" si="8"/>
        <v>1</v>
      </c>
      <c r="X23" s="12">
        <f t="shared" si="9"/>
        <v>1</v>
      </c>
      <c r="Y23" s="12">
        <f t="shared" si="10"/>
        <v>1</v>
      </c>
      <c r="Z23" s="12">
        <f t="shared" si="11"/>
        <v>1</v>
      </c>
      <c r="AA23" s="12">
        <f t="shared" si="12"/>
        <v>1</v>
      </c>
      <c r="AB23" s="12">
        <f t="shared" si="13"/>
        <v>1</v>
      </c>
      <c r="AC23" s="12">
        <f t="shared" si="14"/>
        <v>1</v>
      </c>
      <c r="AD23" s="12">
        <f t="shared" si="42"/>
        <v>1</v>
      </c>
      <c r="AE23" s="12">
        <f t="shared" si="43"/>
        <v>1</v>
      </c>
      <c r="AF23" s="12">
        <f t="shared" si="44"/>
        <v>1</v>
      </c>
      <c r="AG23" s="12">
        <f t="shared" si="45"/>
        <v>1</v>
      </c>
      <c r="AH23" s="12">
        <f t="shared" si="46"/>
        <v>1</v>
      </c>
      <c r="AI23" s="12">
        <f t="shared" si="47"/>
        <v>1</v>
      </c>
      <c r="AJ23" s="12">
        <f t="shared" si="48"/>
        <v>1</v>
      </c>
      <c r="AK23" s="12">
        <f t="shared" si="49"/>
        <v>1</v>
      </c>
      <c r="AL23" s="12">
        <f t="shared" si="50"/>
        <v>1</v>
      </c>
      <c r="AM23" s="12">
        <f t="shared" si="24"/>
        <v>1</v>
      </c>
      <c r="AN23" s="12">
        <f t="shared" si="25"/>
        <v>1</v>
      </c>
      <c r="AO23" s="12">
        <f t="shared" si="26"/>
        <v>1</v>
      </c>
      <c r="AP23" s="12">
        <f t="shared" si="27"/>
        <v>1</v>
      </c>
      <c r="AQ23" s="12">
        <f t="shared" si="28"/>
        <v>1</v>
      </c>
      <c r="AR23" s="12">
        <f t="shared" si="29"/>
        <v>1</v>
      </c>
      <c r="AS23" s="12" cm="1">
        <f t="array" ref="AS23">IF(AND(H23&lt;&gt;"",SUMPRODUCT(--ISNUMBER(FIND({0;1;2;3;4;5;6;7;8;9},H23)))=0),1,0)</f>
        <v>1</v>
      </c>
      <c r="AT23" s="12" cm="1">
        <f t="array" ref="AT23">IF(AND(I23&lt;&gt;"",SUMPRODUCT(--ISNUMBER(FIND({0;1;2;3;4;5;6;7;8;9},I23)))=0),1,0)</f>
        <v>1</v>
      </c>
      <c r="AU23" s="12" cm="1">
        <f t="array" ref="AU23">IF(AND(J23&lt;&gt;"",SUMPRODUCT(--ISNUMBER(FIND({0;1;2;3;4;5;6;7;8;9},J23)))=0),1,0)</f>
        <v>1</v>
      </c>
      <c r="AV23" s="12">
        <f t="shared" si="51"/>
        <v>1</v>
      </c>
      <c r="AW23" s="12">
        <f t="shared" ca="1" si="30"/>
        <v>1</v>
      </c>
      <c r="AX23" s="12">
        <f t="shared" si="31"/>
        <v>1</v>
      </c>
      <c r="AY23" s="12">
        <f t="shared" si="32"/>
        <v>1</v>
      </c>
      <c r="AZ23" s="12">
        <f t="shared" si="33"/>
        <v>1</v>
      </c>
      <c r="BA23" s="12">
        <f t="shared" si="34"/>
        <v>1</v>
      </c>
      <c r="BB23" s="12">
        <f t="shared" si="35"/>
        <v>1</v>
      </c>
      <c r="BC23" s="12">
        <f t="shared" ca="1" si="36"/>
        <v>1</v>
      </c>
      <c r="BD23" s="12">
        <f t="shared" si="37"/>
        <v>1</v>
      </c>
      <c r="BE23" s="12">
        <f t="shared" si="38"/>
        <v>1</v>
      </c>
      <c r="BF23" s="12">
        <f t="shared" si="39"/>
        <v>1</v>
      </c>
      <c r="BG23" s="12">
        <f t="shared" ca="1" si="40"/>
        <v>1</v>
      </c>
    </row>
    <row r="24" spans="1:59" ht="15.75" customHeight="1" x14ac:dyDescent="0.2">
      <c r="A24" s="19">
        <f t="shared" si="4"/>
        <v>1</v>
      </c>
      <c r="B24" s="20">
        <f t="shared" si="5"/>
        <v>1</v>
      </c>
      <c r="C24" s="20">
        <f t="shared" ca="1" si="6"/>
        <v>1</v>
      </c>
      <c r="D24" s="50">
        <f t="shared" ca="1" si="41"/>
        <v>0</v>
      </c>
      <c r="E24" s="11" t="s">
        <v>259</v>
      </c>
      <c r="F24" s="11" t="s">
        <v>160</v>
      </c>
      <c r="G24" s="11">
        <v>1000000023</v>
      </c>
      <c r="H24" s="11" t="s">
        <v>161</v>
      </c>
      <c r="I24" s="11" t="s">
        <v>260</v>
      </c>
      <c r="J24" s="11" t="s">
        <v>139</v>
      </c>
      <c r="K24" s="11" t="s">
        <v>141</v>
      </c>
      <c r="L24" s="70">
        <v>28259</v>
      </c>
      <c r="M24" s="11" t="s">
        <v>261</v>
      </c>
      <c r="N24" s="11">
        <v>3601209801</v>
      </c>
      <c r="O24" s="11" t="s">
        <v>262</v>
      </c>
      <c r="P24" s="11" t="s">
        <v>248</v>
      </c>
      <c r="Q24" s="11" t="s">
        <v>249</v>
      </c>
      <c r="R24" s="68">
        <v>45490</v>
      </c>
      <c r="S24" s="11" t="s">
        <v>174</v>
      </c>
      <c r="T24" s="11" t="s">
        <v>166</v>
      </c>
      <c r="U24" s="11">
        <v>90000</v>
      </c>
      <c r="V24" s="68">
        <v>45814</v>
      </c>
      <c r="W24" s="12">
        <f t="shared" si="8"/>
        <v>1</v>
      </c>
      <c r="X24" s="12">
        <f t="shared" si="9"/>
        <v>1</v>
      </c>
      <c r="Y24" s="12">
        <f t="shared" si="10"/>
        <v>1</v>
      </c>
      <c r="Z24" s="12">
        <f t="shared" si="11"/>
        <v>1</v>
      </c>
      <c r="AA24" s="12">
        <f t="shared" si="12"/>
        <v>1</v>
      </c>
      <c r="AB24" s="12">
        <f t="shared" si="13"/>
        <v>1</v>
      </c>
      <c r="AC24" s="12">
        <f t="shared" si="14"/>
        <v>1</v>
      </c>
      <c r="AD24" s="12">
        <f t="shared" si="42"/>
        <v>1</v>
      </c>
      <c r="AE24" s="12">
        <f t="shared" si="43"/>
        <v>1</v>
      </c>
      <c r="AF24" s="12">
        <f t="shared" si="44"/>
        <v>1</v>
      </c>
      <c r="AG24" s="12">
        <f t="shared" si="45"/>
        <v>1</v>
      </c>
      <c r="AH24" s="12">
        <f t="shared" si="46"/>
        <v>1</v>
      </c>
      <c r="AI24" s="12">
        <f t="shared" si="47"/>
        <v>1</v>
      </c>
      <c r="AJ24" s="12">
        <f t="shared" si="48"/>
        <v>1</v>
      </c>
      <c r="AK24" s="12">
        <f t="shared" si="49"/>
        <v>1</v>
      </c>
      <c r="AL24" s="12">
        <f t="shared" si="50"/>
        <v>1</v>
      </c>
      <c r="AM24" s="12">
        <f t="shared" si="24"/>
        <v>1</v>
      </c>
      <c r="AN24" s="12">
        <f t="shared" si="25"/>
        <v>1</v>
      </c>
      <c r="AO24" s="12">
        <f t="shared" si="26"/>
        <v>1</v>
      </c>
      <c r="AP24" s="12">
        <f t="shared" si="27"/>
        <v>1</v>
      </c>
      <c r="AQ24" s="12">
        <f t="shared" si="28"/>
        <v>1</v>
      </c>
      <c r="AR24" s="12">
        <f t="shared" si="29"/>
        <v>1</v>
      </c>
      <c r="AS24" s="12" cm="1">
        <f t="array" ref="AS24">IF(AND(H24&lt;&gt;"",SUMPRODUCT(--ISNUMBER(FIND({0;1;2;3;4;5;6;7;8;9},H24)))=0),1,0)</f>
        <v>1</v>
      </c>
      <c r="AT24" s="12" cm="1">
        <f t="array" ref="AT24">IF(AND(I24&lt;&gt;"",SUMPRODUCT(--ISNUMBER(FIND({0;1;2;3;4;5;6;7;8;9},I24)))=0),1,0)</f>
        <v>1</v>
      </c>
      <c r="AU24" s="12" cm="1">
        <f t="array" ref="AU24">IF(AND(J24&lt;&gt;"",SUMPRODUCT(--ISNUMBER(FIND({0;1;2;3;4;5;6;7;8;9},J24)))=0),1,0)</f>
        <v>1</v>
      </c>
      <c r="AV24" s="12">
        <f t="shared" si="51"/>
        <v>1</v>
      </c>
      <c r="AW24" s="12">
        <f t="shared" ca="1" si="30"/>
        <v>1</v>
      </c>
      <c r="AX24" s="12">
        <f t="shared" si="31"/>
        <v>1</v>
      </c>
      <c r="AY24" s="12">
        <f t="shared" si="32"/>
        <v>1</v>
      </c>
      <c r="AZ24" s="12">
        <f t="shared" si="33"/>
        <v>1</v>
      </c>
      <c r="BA24" s="12">
        <f t="shared" si="34"/>
        <v>1</v>
      </c>
      <c r="BB24" s="12">
        <f t="shared" si="35"/>
        <v>1</v>
      </c>
      <c r="BC24" s="12">
        <f t="shared" ca="1" si="36"/>
        <v>1</v>
      </c>
      <c r="BD24" s="12">
        <f t="shared" si="37"/>
        <v>1</v>
      </c>
      <c r="BE24" s="12">
        <f t="shared" si="38"/>
        <v>1</v>
      </c>
      <c r="BF24" s="12">
        <f t="shared" si="39"/>
        <v>1</v>
      </c>
      <c r="BG24" s="12">
        <f t="shared" ca="1" si="40"/>
        <v>1</v>
      </c>
    </row>
    <row r="25" spans="1:59" ht="15.75" customHeight="1" x14ac:dyDescent="0.2">
      <c r="A25" s="19">
        <f t="shared" si="4"/>
        <v>1</v>
      </c>
      <c r="B25" s="20">
        <f t="shared" si="5"/>
        <v>1</v>
      </c>
      <c r="C25" s="20">
        <f t="shared" ca="1" si="6"/>
        <v>1</v>
      </c>
      <c r="D25" s="50">
        <f t="shared" ca="1" si="41"/>
        <v>0</v>
      </c>
      <c r="E25" s="11" t="s">
        <v>263</v>
      </c>
      <c r="F25" s="11" t="s">
        <v>160</v>
      </c>
      <c r="G25" s="11">
        <v>1000000024</v>
      </c>
      <c r="H25" s="11" t="s">
        <v>199</v>
      </c>
      <c r="I25" s="11" t="s">
        <v>184</v>
      </c>
      <c r="J25" s="11" t="s">
        <v>151</v>
      </c>
      <c r="K25" s="11" t="s">
        <v>185</v>
      </c>
      <c r="L25" s="70">
        <v>38612</v>
      </c>
      <c r="M25" s="11" t="s">
        <v>264</v>
      </c>
      <c r="N25" s="11">
        <v>3554841469</v>
      </c>
      <c r="O25" s="11" t="s">
        <v>265</v>
      </c>
      <c r="P25" s="11" t="s">
        <v>224</v>
      </c>
      <c r="Q25" s="11" t="s">
        <v>225</v>
      </c>
      <c r="R25" s="68">
        <v>45711</v>
      </c>
      <c r="S25" s="11" t="s">
        <v>146</v>
      </c>
      <c r="T25" s="11" t="s">
        <v>158</v>
      </c>
      <c r="U25" s="11">
        <v>90000</v>
      </c>
      <c r="V25" s="68">
        <v>46032</v>
      </c>
      <c r="W25" s="12">
        <f t="shared" si="8"/>
        <v>1</v>
      </c>
      <c r="X25" s="12">
        <f t="shared" si="9"/>
        <v>1</v>
      </c>
      <c r="Y25" s="12">
        <f t="shared" si="10"/>
        <v>1</v>
      </c>
      <c r="Z25" s="12">
        <f t="shared" si="11"/>
        <v>1</v>
      </c>
      <c r="AA25" s="12">
        <f t="shared" si="12"/>
        <v>1</v>
      </c>
      <c r="AB25" s="12">
        <f t="shared" si="13"/>
        <v>1</v>
      </c>
      <c r="AC25" s="12">
        <f t="shared" si="14"/>
        <v>1</v>
      </c>
      <c r="AD25" s="12">
        <f t="shared" si="42"/>
        <v>1</v>
      </c>
      <c r="AE25" s="12">
        <f t="shared" si="43"/>
        <v>1</v>
      </c>
      <c r="AF25" s="12">
        <f t="shared" si="44"/>
        <v>1</v>
      </c>
      <c r="AG25" s="12">
        <f t="shared" si="45"/>
        <v>1</v>
      </c>
      <c r="AH25" s="12">
        <f t="shared" si="46"/>
        <v>1</v>
      </c>
      <c r="AI25" s="12">
        <f t="shared" si="47"/>
        <v>1</v>
      </c>
      <c r="AJ25" s="12">
        <f t="shared" si="48"/>
        <v>1</v>
      </c>
      <c r="AK25" s="12">
        <f t="shared" si="49"/>
        <v>1</v>
      </c>
      <c r="AL25" s="12">
        <f t="shared" si="50"/>
        <v>1</v>
      </c>
      <c r="AM25" s="12">
        <f t="shared" si="24"/>
        <v>1</v>
      </c>
      <c r="AN25" s="12">
        <f t="shared" si="25"/>
        <v>1</v>
      </c>
      <c r="AO25" s="12">
        <f t="shared" si="26"/>
        <v>1</v>
      </c>
      <c r="AP25" s="12">
        <f t="shared" si="27"/>
        <v>1</v>
      </c>
      <c r="AQ25" s="12">
        <f t="shared" si="28"/>
        <v>1</v>
      </c>
      <c r="AR25" s="12">
        <f t="shared" si="29"/>
        <v>1</v>
      </c>
      <c r="AS25" s="12" cm="1">
        <f t="array" ref="AS25">IF(AND(H25&lt;&gt;"",SUMPRODUCT(--ISNUMBER(FIND({0;1;2;3;4;5;6;7;8;9},H25)))=0),1,0)</f>
        <v>1</v>
      </c>
      <c r="AT25" s="12" cm="1">
        <f t="array" ref="AT25">IF(AND(I25&lt;&gt;"",SUMPRODUCT(--ISNUMBER(FIND({0;1;2;3;4;5;6;7;8;9},I25)))=0),1,0)</f>
        <v>1</v>
      </c>
      <c r="AU25" s="12" cm="1">
        <f t="array" ref="AU25">IF(AND(J25&lt;&gt;"",SUMPRODUCT(--ISNUMBER(FIND({0;1;2;3;4;5;6;7;8;9},J25)))=0),1,0)</f>
        <v>1</v>
      </c>
      <c r="AV25" s="12">
        <f t="shared" si="51"/>
        <v>1</v>
      </c>
      <c r="AW25" s="12">
        <f t="shared" ca="1" si="30"/>
        <v>1</v>
      </c>
      <c r="AX25" s="12">
        <f t="shared" si="31"/>
        <v>1</v>
      </c>
      <c r="AY25" s="12">
        <f t="shared" si="32"/>
        <v>1</v>
      </c>
      <c r="AZ25" s="12">
        <f t="shared" si="33"/>
        <v>1</v>
      </c>
      <c r="BA25" s="12">
        <f t="shared" si="34"/>
        <v>1</v>
      </c>
      <c r="BB25" s="12">
        <f t="shared" si="35"/>
        <v>1</v>
      </c>
      <c r="BC25" s="12">
        <f t="shared" ca="1" si="36"/>
        <v>1</v>
      </c>
      <c r="BD25" s="12">
        <f t="shared" si="37"/>
        <v>1</v>
      </c>
      <c r="BE25" s="12">
        <f t="shared" si="38"/>
        <v>1</v>
      </c>
      <c r="BF25" s="12">
        <f t="shared" si="39"/>
        <v>1</v>
      </c>
      <c r="BG25" s="12">
        <f t="shared" ca="1" si="40"/>
        <v>1</v>
      </c>
    </row>
    <row r="26" spans="1:59" ht="15.75" customHeight="1" x14ac:dyDescent="0.2">
      <c r="A26" s="19">
        <f t="shared" si="4"/>
        <v>1</v>
      </c>
      <c r="B26" s="20">
        <f t="shared" si="5"/>
        <v>1</v>
      </c>
      <c r="C26" s="20">
        <f t="shared" ca="1" si="6"/>
        <v>1</v>
      </c>
      <c r="D26" s="50">
        <f t="shared" ca="1" si="41"/>
        <v>0</v>
      </c>
      <c r="E26" s="11" t="s">
        <v>266</v>
      </c>
      <c r="F26" s="11" t="s">
        <v>137</v>
      </c>
      <c r="G26" s="11">
        <v>1000000025</v>
      </c>
      <c r="H26" s="11" t="s">
        <v>150</v>
      </c>
      <c r="I26" s="11" t="s">
        <v>267</v>
      </c>
      <c r="J26" s="11" t="s">
        <v>194</v>
      </c>
      <c r="K26" s="11" t="s">
        <v>141</v>
      </c>
      <c r="L26" s="70">
        <v>26965</v>
      </c>
      <c r="M26" s="11" t="s">
        <v>268</v>
      </c>
      <c r="N26" s="11">
        <v>3732305542</v>
      </c>
      <c r="O26" s="11" t="s">
        <v>269</v>
      </c>
      <c r="P26" s="11" t="s">
        <v>155</v>
      </c>
      <c r="Q26" s="11" t="s">
        <v>156</v>
      </c>
      <c r="R26" s="68">
        <v>45600</v>
      </c>
      <c r="S26" s="11" t="s">
        <v>174</v>
      </c>
      <c r="T26" s="11" t="s">
        <v>166</v>
      </c>
      <c r="U26" s="11">
        <v>95000</v>
      </c>
      <c r="V26" s="68">
        <v>45603</v>
      </c>
      <c r="W26" s="12">
        <f t="shared" si="8"/>
        <v>1</v>
      </c>
      <c r="X26" s="12">
        <f t="shared" si="9"/>
        <v>1</v>
      </c>
      <c r="Y26" s="12">
        <f t="shared" si="10"/>
        <v>1</v>
      </c>
      <c r="Z26" s="12">
        <f t="shared" si="11"/>
        <v>1</v>
      </c>
      <c r="AA26" s="12">
        <f t="shared" si="12"/>
        <v>1</v>
      </c>
      <c r="AB26" s="12">
        <f t="shared" si="13"/>
        <v>1</v>
      </c>
      <c r="AC26" s="12">
        <f t="shared" si="14"/>
        <v>1</v>
      </c>
      <c r="AD26" s="12">
        <f t="shared" si="42"/>
        <v>1</v>
      </c>
      <c r="AE26" s="12">
        <f t="shared" si="43"/>
        <v>1</v>
      </c>
      <c r="AF26" s="12">
        <f t="shared" si="44"/>
        <v>1</v>
      </c>
      <c r="AG26" s="12">
        <f t="shared" si="45"/>
        <v>1</v>
      </c>
      <c r="AH26" s="12">
        <f t="shared" si="46"/>
        <v>1</v>
      </c>
      <c r="AI26" s="12">
        <f t="shared" si="47"/>
        <v>1</v>
      </c>
      <c r="AJ26" s="12">
        <f t="shared" si="48"/>
        <v>1</v>
      </c>
      <c r="AK26" s="12">
        <f t="shared" si="49"/>
        <v>1</v>
      </c>
      <c r="AL26" s="12">
        <f t="shared" si="50"/>
        <v>1</v>
      </c>
      <c r="AM26" s="12">
        <f t="shared" si="24"/>
        <v>1</v>
      </c>
      <c r="AN26" s="12">
        <f t="shared" si="25"/>
        <v>1</v>
      </c>
      <c r="AO26" s="12">
        <f t="shared" si="26"/>
        <v>1</v>
      </c>
      <c r="AP26" s="12">
        <f t="shared" si="27"/>
        <v>1</v>
      </c>
      <c r="AQ26" s="12">
        <f t="shared" si="28"/>
        <v>1</v>
      </c>
      <c r="AR26" s="12">
        <f t="shared" si="29"/>
        <v>1</v>
      </c>
      <c r="AS26" s="12" cm="1">
        <f t="array" ref="AS26">IF(AND(H26&lt;&gt;"",SUMPRODUCT(--ISNUMBER(FIND({0;1;2;3;4;5;6;7;8;9},H26)))=0),1,0)</f>
        <v>1</v>
      </c>
      <c r="AT26" s="12" cm="1">
        <f t="array" ref="AT26">IF(AND(I26&lt;&gt;"",SUMPRODUCT(--ISNUMBER(FIND({0;1;2;3;4;5;6;7;8;9},I26)))=0),1,0)</f>
        <v>1</v>
      </c>
      <c r="AU26" s="12" cm="1">
        <f t="array" ref="AU26">IF(AND(J26&lt;&gt;"",SUMPRODUCT(--ISNUMBER(FIND({0;1;2;3;4;5;6;7;8;9},J26)))=0),1,0)</f>
        <v>1</v>
      </c>
      <c r="AV26" s="12">
        <f t="shared" si="51"/>
        <v>1</v>
      </c>
      <c r="AW26" s="12">
        <f t="shared" ca="1" si="30"/>
        <v>1</v>
      </c>
      <c r="AX26" s="12">
        <f t="shared" si="31"/>
        <v>1</v>
      </c>
      <c r="AY26" s="12">
        <f t="shared" si="32"/>
        <v>1</v>
      </c>
      <c r="AZ26" s="12">
        <f t="shared" si="33"/>
        <v>1</v>
      </c>
      <c r="BA26" s="12">
        <f t="shared" si="34"/>
        <v>1</v>
      </c>
      <c r="BB26" s="12">
        <f t="shared" si="35"/>
        <v>1</v>
      </c>
      <c r="BC26" s="12">
        <f t="shared" ca="1" si="36"/>
        <v>1</v>
      </c>
      <c r="BD26" s="12">
        <f t="shared" si="37"/>
        <v>1</v>
      </c>
      <c r="BE26" s="12">
        <f t="shared" si="38"/>
        <v>1</v>
      </c>
      <c r="BF26" s="12">
        <f t="shared" si="39"/>
        <v>1</v>
      </c>
      <c r="BG26" s="12">
        <f t="shared" ca="1" si="40"/>
        <v>1</v>
      </c>
    </row>
    <row r="27" spans="1:59" ht="15.75" customHeight="1" x14ac:dyDescent="0.2">
      <c r="A27" s="19">
        <f t="shared" si="4"/>
        <v>1</v>
      </c>
      <c r="B27" s="20">
        <f t="shared" si="5"/>
        <v>1</v>
      </c>
      <c r="C27" s="20">
        <f t="shared" ca="1" si="6"/>
        <v>1</v>
      </c>
      <c r="D27" s="50">
        <f t="shared" ca="1" si="41"/>
        <v>0</v>
      </c>
      <c r="E27" s="11" t="s">
        <v>270</v>
      </c>
      <c r="F27" s="11" t="s">
        <v>160</v>
      </c>
      <c r="G27" s="11">
        <v>1000000026</v>
      </c>
      <c r="H27" s="11" t="s">
        <v>182</v>
      </c>
      <c r="I27" s="11" t="s">
        <v>169</v>
      </c>
      <c r="J27" s="11" t="s">
        <v>212</v>
      </c>
      <c r="K27" s="11" t="s">
        <v>185</v>
      </c>
      <c r="L27" s="70">
        <v>34820</v>
      </c>
      <c r="M27" s="11" t="s">
        <v>271</v>
      </c>
      <c r="N27" s="11">
        <v>3209905503</v>
      </c>
      <c r="O27" s="11" t="s">
        <v>272</v>
      </c>
      <c r="P27" s="11" t="s">
        <v>248</v>
      </c>
      <c r="Q27" s="11" t="s">
        <v>249</v>
      </c>
      <c r="R27" s="68">
        <v>45568</v>
      </c>
      <c r="S27" s="11" t="s">
        <v>174</v>
      </c>
      <c r="T27" s="11" t="s">
        <v>147</v>
      </c>
      <c r="U27" s="11">
        <v>95000</v>
      </c>
      <c r="V27" s="68">
        <v>45708</v>
      </c>
      <c r="W27" s="12">
        <f t="shared" si="8"/>
        <v>1</v>
      </c>
      <c r="X27" s="12">
        <f t="shared" si="9"/>
        <v>1</v>
      </c>
      <c r="Y27" s="12">
        <f t="shared" si="10"/>
        <v>1</v>
      </c>
      <c r="Z27" s="12">
        <f t="shared" si="11"/>
        <v>1</v>
      </c>
      <c r="AA27" s="12">
        <f t="shared" si="12"/>
        <v>1</v>
      </c>
      <c r="AB27" s="12">
        <f t="shared" si="13"/>
        <v>1</v>
      </c>
      <c r="AC27" s="12">
        <f t="shared" si="14"/>
        <v>1</v>
      </c>
      <c r="AD27" s="12">
        <f t="shared" si="42"/>
        <v>1</v>
      </c>
      <c r="AE27" s="12">
        <f t="shared" si="43"/>
        <v>1</v>
      </c>
      <c r="AF27" s="12">
        <f t="shared" si="44"/>
        <v>1</v>
      </c>
      <c r="AG27" s="12">
        <f t="shared" si="45"/>
        <v>1</v>
      </c>
      <c r="AH27" s="12">
        <f t="shared" si="46"/>
        <v>1</v>
      </c>
      <c r="AI27" s="12">
        <f t="shared" si="47"/>
        <v>1</v>
      </c>
      <c r="AJ27" s="12">
        <f t="shared" si="48"/>
        <v>1</v>
      </c>
      <c r="AK27" s="12">
        <f t="shared" si="49"/>
        <v>1</v>
      </c>
      <c r="AL27" s="12">
        <f t="shared" si="50"/>
        <v>1</v>
      </c>
      <c r="AM27" s="12">
        <f t="shared" si="24"/>
        <v>1</v>
      </c>
      <c r="AN27" s="12">
        <f t="shared" si="25"/>
        <v>1</v>
      </c>
      <c r="AO27" s="12">
        <f t="shared" si="26"/>
        <v>1</v>
      </c>
      <c r="AP27" s="12">
        <f t="shared" si="27"/>
        <v>1</v>
      </c>
      <c r="AQ27" s="12">
        <f t="shared" si="28"/>
        <v>1</v>
      </c>
      <c r="AR27" s="12">
        <f t="shared" si="29"/>
        <v>1</v>
      </c>
      <c r="AS27" s="12" cm="1">
        <f t="array" ref="AS27">IF(AND(H27&lt;&gt;"",SUMPRODUCT(--ISNUMBER(FIND({0;1;2;3;4;5;6;7;8;9},H27)))=0),1,0)</f>
        <v>1</v>
      </c>
      <c r="AT27" s="12" cm="1">
        <f t="array" ref="AT27">IF(AND(I27&lt;&gt;"",SUMPRODUCT(--ISNUMBER(FIND({0;1;2;3;4;5;6;7;8;9},I27)))=0),1,0)</f>
        <v>1</v>
      </c>
      <c r="AU27" s="12" cm="1">
        <f t="array" ref="AU27">IF(AND(J27&lt;&gt;"",SUMPRODUCT(--ISNUMBER(FIND({0;1;2;3;4;5;6;7;8;9},J27)))=0),1,0)</f>
        <v>1</v>
      </c>
      <c r="AV27" s="12">
        <f t="shared" si="51"/>
        <v>1</v>
      </c>
      <c r="AW27" s="12">
        <f t="shared" ca="1" si="30"/>
        <v>1</v>
      </c>
      <c r="AX27" s="12">
        <f t="shared" si="31"/>
        <v>1</v>
      </c>
      <c r="AY27" s="12">
        <f t="shared" si="32"/>
        <v>1</v>
      </c>
      <c r="AZ27" s="12">
        <f t="shared" si="33"/>
        <v>1</v>
      </c>
      <c r="BA27" s="12">
        <f t="shared" si="34"/>
        <v>1</v>
      </c>
      <c r="BB27" s="12">
        <f t="shared" si="35"/>
        <v>1</v>
      </c>
      <c r="BC27" s="12">
        <f t="shared" ca="1" si="36"/>
        <v>1</v>
      </c>
      <c r="BD27" s="12">
        <f t="shared" si="37"/>
        <v>1</v>
      </c>
      <c r="BE27" s="12">
        <f t="shared" si="38"/>
        <v>1</v>
      </c>
      <c r="BF27" s="12">
        <f t="shared" si="39"/>
        <v>1</v>
      </c>
      <c r="BG27" s="12">
        <f t="shared" ca="1" si="40"/>
        <v>1</v>
      </c>
    </row>
    <row r="28" spans="1:59" ht="15.75" customHeight="1" x14ac:dyDescent="0.2">
      <c r="A28" s="19">
        <f t="shared" si="4"/>
        <v>1</v>
      </c>
      <c r="B28" s="20">
        <f t="shared" si="5"/>
        <v>1</v>
      </c>
      <c r="C28" s="20">
        <f t="shared" ca="1" si="6"/>
        <v>1</v>
      </c>
      <c r="D28" s="50">
        <f t="shared" ca="1" si="41"/>
        <v>0</v>
      </c>
      <c r="E28" s="11" t="s">
        <v>273</v>
      </c>
      <c r="F28" s="11" t="s">
        <v>160</v>
      </c>
      <c r="G28" s="11">
        <v>1000000027</v>
      </c>
      <c r="H28" s="11" t="s">
        <v>274</v>
      </c>
      <c r="I28" s="11" t="s">
        <v>183</v>
      </c>
      <c r="J28" s="11" t="s">
        <v>168</v>
      </c>
      <c r="K28" s="11" t="s">
        <v>141</v>
      </c>
      <c r="L28" s="70">
        <v>36896</v>
      </c>
      <c r="M28" s="11" t="s">
        <v>275</v>
      </c>
      <c r="N28" s="11">
        <v>3532227476</v>
      </c>
      <c r="O28" s="11" t="s">
        <v>276</v>
      </c>
      <c r="P28" s="11" t="s">
        <v>248</v>
      </c>
      <c r="Q28" s="11" t="s">
        <v>249</v>
      </c>
      <c r="R28" s="68">
        <v>45543</v>
      </c>
      <c r="S28" s="11" t="s">
        <v>174</v>
      </c>
      <c r="T28" s="11" t="s">
        <v>166</v>
      </c>
      <c r="U28" s="11">
        <v>75000</v>
      </c>
      <c r="V28" s="68">
        <v>45855</v>
      </c>
      <c r="W28" s="12">
        <f t="shared" si="8"/>
        <v>1</v>
      </c>
      <c r="X28" s="12">
        <f t="shared" si="9"/>
        <v>1</v>
      </c>
      <c r="Y28" s="12">
        <f t="shared" si="10"/>
        <v>1</v>
      </c>
      <c r="Z28" s="12">
        <f t="shared" si="11"/>
        <v>1</v>
      </c>
      <c r="AA28" s="12">
        <f t="shared" si="12"/>
        <v>1</v>
      </c>
      <c r="AB28" s="12">
        <f t="shared" si="13"/>
        <v>1</v>
      </c>
      <c r="AC28" s="12">
        <f t="shared" si="14"/>
        <v>1</v>
      </c>
      <c r="AD28" s="12">
        <f t="shared" si="42"/>
        <v>1</v>
      </c>
      <c r="AE28" s="12">
        <f t="shared" si="43"/>
        <v>1</v>
      </c>
      <c r="AF28" s="12">
        <f t="shared" si="44"/>
        <v>1</v>
      </c>
      <c r="AG28" s="12">
        <f t="shared" si="45"/>
        <v>1</v>
      </c>
      <c r="AH28" s="12">
        <f t="shared" si="46"/>
        <v>1</v>
      </c>
      <c r="AI28" s="12">
        <f t="shared" si="47"/>
        <v>1</v>
      </c>
      <c r="AJ28" s="12">
        <f t="shared" si="48"/>
        <v>1</v>
      </c>
      <c r="AK28" s="12">
        <f t="shared" si="49"/>
        <v>1</v>
      </c>
      <c r="AL28" s="12">
        <f t="shared" si="50"/>
        <v>1</v>
      </c>
      <c r="AM28" s="12">
        <f t="shared" si="24"/>
        <v>1</v>
      </c>
      <c r="AN28" s="12">
        <f t="shared" si="25"/>
        <v>1</v>
      </c>
      <c r="AO28" s="12">
        <f t="shared" si="26"/>
        <v>1</v>
      </c>
      <c r="AP28" s="12">
        <f t="shared" si="27"/>
        <v>1</v>
      </c>
      <c r="AQ28" s="12">
        <f t="shared" si="28"/>
        <v>1</v>
      </c>
      <c r="AR28" s="12">
        <f t="shared" si="29"/>
        <v>1</v>
      </c>
      <c r="AS28" s="12" cm="1">
        <f t="array" ref="AS28">IF(AND(H28&lt;&gt;"",SUMPRODUCT(--ISNUMBER(FIND({0;1;2;3;4;5;6;7;8;9},H28)))=0),1,0)</f>
        <v>1</v>
      </c>
      <c r="AT28" s="12" cm="1">
        <f t="array" ref="AT28">IF(AND(I28&lt;&gt;"",SUMPRODUCT(--ISNUMBER(FIND({0;1;2;3;4;5;6;7;8;9},I28)))=0),1,0)</f>
        <v>1</v>
      </c>
      <c r="AU28" s="12" cm="1">
        <f t="array" ref="AU28">IF(AND(J28&lt;&gt;"",SUMPRODUCT(--ISNUMBER(FIND({0;1;2;3;4;5;6;7;8;9},J28)))=0),1,0)</f>
        <v>1</v>
      </c>
      <c r="AV28" s="12">
        <f t="shared" si="51"/>
        <v>1</v>
      </c>
      <c r="AW28" s="12">
        <f t="shared" ca="1" si="30"/>
        <v>1</v>
      </c>
      <c r="AX28" s="12">
        <f t="shared" si="31"/>
        <v>1</v>
      </c>
      <c r="AY28" s="12">
        <f t="shared" si="32"/>
        <v>1</v>
      </c>
      <c r="AZ28" s="12">
        <f t="shared" si="33"/>
        <v>1</v>
      </c>
      <c r="BA28" s="12">
        <f t="shared" si="34"/>
        <v>1</v>
      </c>
      <c r="BB28" s="12">
        <f t="shared" si="35"/>
        <v>1</v>
      </c>
      <c r="BC28" s="12">
        <f t="shared" ca="1" si="36"/>
        <v>1</v>
      </c>
      <c r="BD28" s="12">
        <f t="shared" si="37"/>
        <v>1</v>
      </c>
      <c r="BE28" s="12">
        <f t="shared" si="38"/>
        <v>1</v>
      </c>
      <c r="BF28" s="12">
        <f t="shared" si="39"/>
        <v>1</v>
      </c>
      <c r="BG28" s="12">
        <f t="shared" ca="1" si="40"/>
        <v>1</v>
      </c>
    </row>
    <row r="29" spans="1:59" ht="15.75" customHeight="1" x14ac:dyDescent="0.2">
      <c r="A29" s="19">
        <f t="shared" si="4"/>
        <v>1</v>
      </c>
      <c r="B29" s="20">
        <f t="shared" si="5"/>
        <v>1</v>
      </c>
      <c r="C29" s="20">
        <f t="shared" ca="1" si="6"/>
        <v>1</v>
      </c>
      <c r="D29" s="50">
        <f t="shared" ca="1" si="41"/>
        <v>0</v>
      </c>
      <c r="E29" s="11" t="s">
        <v>277</v>
      </c>
      <c r="F29" s="11" t="s">
        <v>160</v>
      </c>
      <c r="G29" s="11">
        <v>1000000028</v>
      </c>
      <c r="H29" s="11" t="s">
        <v>193</v>
      </c>
      <c r="I29" s="11" t="s">
        <v>256</v>
      </c>
      <c r="J29" s="11" t="s">
        <v>140</v>
      </c>
      <c r="K29" s="11" t="s">
        <v>185</v>
      </c>
      <c r="L29" s="70">
        <v>25236</v>
      </c>
      <c r="M29" s="11" t="s">
        <v>278</v>
      </c>
      <c r="N29" s="11">
        <v>3927102736</v>
      </c>
      <c r="O29" s="11" t="s">
        <v>279</v>
      </c>
      <c r="P29" s="11" t="s">
        <v>144</v>
      </c>
      <c r="Q29" s="11" t="s">
        <v>145</v>
      </c>
      <c r="R29" s="68">
        <v>45168</v>
      </c>
      <c r="S29" s="11" t="s">
        <v>174</v>
      </c>
      <c r="T29" s="11" t="s">
        <v>147</v>
      </c>
      <c r="U29" s="11">
        <v>85000</v>
      </c>
      <c r="V29" s="68">
        <v>45467</v>
      </c>
      <c r="W29" s="12">
        <f t="shared" si="8"/>
        <v>1</v>
      </c>
      <c r="X29" s="12">
        <f t="shared" si="9"/>
        <v>1</v>
      </c>
      <c r="Y29" s="12">
        <f t="shared" si="10"/>
        <v>1</v>
      </c>
      <c r="Z29" s="12">
        <f t="shared" si="11"/>
        <v>1</v>
      </c>
      <c r="AA29" s="12">
        <f t="shared" si="12"/>
        <v>1</v>
      </c>
      <c r="AB29" s="12">
        <f t="shared" si="13"/>
        <v>1</v>
      </c>
      <c r="AC29" s="12">
        <f t="shared" si="14"/>
        <v>1</v>
      </c>
      <c r="AD29" s="12">
        <f t="shared" si="42"/>
        <v>1</v>
      </c>
      <c r="AE29" s="12">
        <f t="shared" si="43"/>
        <v>1</v>
      </c>
      <c r="AF29" s="12">
        <f t="shared" si="44"/>
        <v>1</v>
      </c>
      <c r="AG29" s="12">
        <f t="shared" si="45"/>
        <v>1</v>
      </c>
      <c r="AH29" s="12">
        <f t="shared" si="46"/>
        <v>1</v>
      </c>
      <c r="AI29" s="12">
        <f t="shared" si="47"/>
        <v>1</v>
      </c>
      <c r="AJ29" s="12">
        <f t="shared" si="48"/>
        <v>1</v>
      </c>
      <c r="AK29" s="12">
        <f t="shared" si="49"/>
        <v>1</v>
      </c>
      <c r="AL29" s="12">
        <f t="shared" si="50"/>
        <v>1</v>
      </c>
      <c r="AM29" s="12">
        <f t="shared" si="24"/>
        <v>1</v>
      </c>
      <c r="AN29" s="12">
        <f t="shared" si="25"/>
        <v>1</v>
      </c>
      <c r="AO29" s="12">
        <f t="shared" si="26"/>
        <v>1</v>
      </c>
      <c r="AP29" s="12">
        <f t="shared" si="27"/>
        <v>1</v>
      </c>
      <c r="AQ29" s="12">
        <f t="shared" si="28"/>
        <v>1</v>
      </c>
      <c r="AR29" s="12">
        <f t="shared" si="29"/>
        <v>1</v>
      </c>
      <c r="AS29" s="12" cm="1">
        <f t="array" ref="AS29">IF(AND(H29&lt;&gt;"",SUMPRODUCT(--ISNUMBER(FIND({0;1;2;3;4;5;6;7;8;9},H29)))=0),1,0)</f>
        <v>1</v>
      </c>
      <c r="AT29" s="12" cm="1">
        <f t="array" ref="AT29">IF(AND(I29&lt;&gt;"",SUMPRODUCT(--ISNUMBER(FIND({0;1;2;3;4;5;6;7;8;9},I29)))=0),1,0)</f>
        <v>1</v>
      </c>
      <c r="AU29" s="12" cm="1">
        <f t="array" ref="AU29">IF(AND(J29&lt;&gt;"",SUMPRODUCT(--ISNUMBER(FIND({0;1;2;3;4;5;6;7;8;9},J29)))=0),1,0)</f>
        <v>1</v>
      </c>
      <c r="AV29" s="12">
        <f t="shared" si="51"/>
        <v>1</v>
      </c>
      <c r="AW29" s="12">
        <f t="shared" ca="1" si="30"/>
        <v>1</v>
      </c>
      <c r="AX29" s="12">
        <f t="shared" si="31"/>
        <v>1</v>
      </c>
      <c r="AY29" s="12">
        <f t="shared" si="32"/>
        <v>1</v>
      </c>
      <c r="AZ29" s="12">
        <f t="shared" si="33"/>
        <v>1</v>
      </c>
      <c r="BA29" s="12">
        <f t="shared" si="34"/>
        <v>1</v>
      </c>
      <c r="BB29" s="12">
        <f t="shared" si="35"/>
        <v>1</v>
      </c>
      <c r="BC29" s="12">
        <f t="shared" ca="1" si="36"/>
        <v>1</v>
      </c>
      <c r="BD29" s="12">
        <f t="shared" si="37"/>
        <v>1</v>
      </c>
      <c r="BE29" s="12">
        <f t="shared" si="38"/>
        <v>1</v>
      </c>
      <c r="BF29" s="12">
        <f t="shared" si="39"/>
        <v>1</v>
      </c>
      <c r="BG29" s="12">
        <f t="shared" ca="1" si="40"/>
        <v>1</v>
      </c>
    </row>
    <row r="30" spans="1:59" ht="15.75" customHeight="1" x14ac:dyDescent="0.2">
      <c r="A30" s="19">
        <f t="shared" si="4"/>
        <v>1</v>
      </c>
      <c r="B30" s="20">
        <f t="shared" si="5"/>
        <v>1</v>
      </c>
      <c r="C30" s="20">
        <f t="shared" ca="1" si="6"/>
        <v>1</v>
      </c>
      <c r="D30" s="50">
        <f t="shared" ca="1" si="41"/>
        <v>0</v>
      </c>
      <c r="E30" s="11" t="s">
        <v>280</v>
      </c>
      <c r="F30" s="11" t="s">
        <v>149</v>
      </c>
      <c r="G30" s="11">
        <v>1000000029</v>
      </c>
      <c r="H30" s="11" t="s">
        <v>281</v>
      </c>
      <c r="I30" s="11" t="s">
        <v>194</v>
      </c>
      <c r="J30" s="11" t="s">
        <v>267</v>
      </c>
      <c r="K30" s="11" t="s">
        <v>185</v>
      </c>
      <c r="L30" s="70">
        <v>31739</v>
      </c>
      <c r="M30" s="11" t="s">
        <v>282</v>
      </c>
      <c r="N30" s="11">
        <v>3318955496</v>
      </c>
      <c r="O30" s="11" t="s">
        <v>283</v>
      </c>
      <c r="P30" s="11" t="s">
        <v>248</v>
      </c>
      <c r="Q30" s="11" t="s">
        <v>249</v>
      </c>
      <c r="R30" s="68">
        <v>45359</v>
      </c>
      <c r="S30" s="11" t="s">
        <v>157</v>
      </c>
      <c r="T30" s="11" t="s">
        <v>158</v>
      </c>
      <c r="U30" s="11">
        <v>75000</v>
      </c>
      <c r="V30" s="68">
        <v>45439</v>
      </c>
      <c r="W30" s="12">
        <f t="shared" si="8"/>
        <v>1</v>
      </c>
      <c r="X30" s="12">
        <f t="shared" si="9"/>
        <v>1</v>
      </c>
      <c r="Y30" s="12">
        <f t="shared" si="10"/>
        <v>1</v>
      </c>
      <c r="Z30" s="12">
        <f t="shared" si="11"/>
        <v>1</v>
      </c>
      <c r="AA30" s="12">
        <f t="shared" si="12"/>
        <v>1</v>
      </c>
      <c r="AB30" s="12">
        <f t="shared" si="13"/>
        <v>1</v>
      </c>
      <c r="AC30" s="12">
        <f t="shared" si="14"/>
        <v>1</v>
      </c>
      <c r="AD30" s="12">
        <f t="shared" si="42"/>
        <v>1</v>
      </c>
      <c r="AE30" s="12">
        <f t="shared" si="43"/>
        <v>1</v>
      </c>
      <c r="AF30" s="12">
        <f t="shared" si="44"/>
        <v>1</v>
      </c>
      <c r="AG30" s="12">
        <f t="shared" si="45"/>
        <v>1</v>
      </c>
      <c r="AH30" s="12">
        <f t="shared" si="46"/>
        <v>1</v>
      </c>
      <c r="AI30" s="12">
        <f t="shared" si="47"/>
        <v>1</v>
      </c>
      <c r="AJ30" s="12">
        <f t="shared" si="48"/>
        <v>1</v>
      </c>
      <c r="AK30" s="12">
        <f t="shared" si="49"/>
        <v>1</v>
      </c>
      <c r="AL30" s="12">
        <f t="shared" si="50"/>
        <v>1</v>
      </c>
      <c r="AM30" s="12">
        <f t="shared" si="24"/>
        <v>1</v>
      </c>
      <c r="AN30" s="12">
        <f t="shared" si="25"/>
        <v>1</v>
      </c>
      <c r="AO30" s="12">
        <f t="shared" si="26"/>
        <v>1</v>
      </c>
      <c r="AP30" s="12">
        <f t="shared" si="27"/>
        <v>1</v>
      </c>
      <c r="AQ30" s="12">
        <f t="shared" si="28"/>
        <v>1</v>
      </c>
      <c r="AR30" s="12">
        <f t="shared" si="29"/>
        <v>1</v>
      </c>
      <c r="AS30" s="12" cm="1">
        <f t="array" ref="AS30">IF(AND(H30&lt;&gt;"",SUMPRODUCT(--ISNUMBER(FIND({0;1;2;3;4;5;6;7;8;9},H30)))=0),1,0)</f>
        <v>1</v>
      </c>
      <c r="AT30" s="12" cm="1">
        <f t="array" ref="AT30">IF(AND(I30&lt;&gt;"",SUMPRODUCT(--ISNUMBER(FIND({0;1;2;3;4;5;6;7;8;9},I30)))=0),1,0)</f>
        <v>1</v>
      </c>
      <c r="AU30" s="12" cm="1">
        <f t="array" ref="AU30">IF(AND(J30&lt;&gt;"",SUMPRODUCT(--ISNUMBER(FIND({0;1;2;3;4;5;6;7;8;9},J30)))=0),1,0)</f>
        <v>1</v>
      </c>
      <c r="AV30" s="12">
        <f t="shared" si="51"/>
        <v>1</v>
      </c>
      <c r="AW30" s="12">
        <f t="shared" ca="1" si="30"/>
        <v>1</v>
      </c>
      <c r="AX30" s="12">
        <f t="shared" si="31"/>
        <v>1</v>
      </c>
      <c r="AY30" s="12">
        <f t="shared" si="32"/>
        <v>1</v>
      </c>
      <c r="AZ30" s="12">
        <f t="shared" si="33"/>
        <v>1</v>
      </c>
      <c r="BA30" s="12">
        <f t="shared" si="34"/>
        <v>1</v>
      </c>
      <c r="BB30" s="12">
        <f t="shared" si="35"/>
        <v>1</v>
      </c>
      <c r="BC30" s="12">
        <f t="shared" ca="1" si="36"/>
        <v>1</v>
      </c>
      <c r="BD30" s="12">
        <f t="shared" si="37"/>
        <v>1</v>
      </c>
      <c r="BE30" s="12">
        <f t="shared" si="38"/>
        <v>1</v>
      </c>
      <c r="BF30" s="12">
        <f t="shared" si="39"/>
        <v>1</v>
      </c>
      <c r="BG30" s="12">
        <f t="shared" ca="1" si="40"/>
        <v>1</v>
      </c>
    </row>
    <row r="31" spans="1:59" ht="15.75" customHeight="1" x14ac:dyDescent="0.2">
      <c r="A31" s="19">
        <f t="shared" si="4"/>
        <v>1</v>
      </c>
      <c r="B31" s="20">
        <f t="shared" si="5"/>
        <v>1</v>
      </c>
      <c r="C31" s="20">
        <f t="shared" ca="1" si="6"/>
        <v>1</v>
      </c>
      <c r="D31" s="50">
        <f t="shared" ca="1" si="41"/>
        <v>0</v>
      </c>
      <c r="E31" s="11" t="s">
        <v>284</v>
      </c>
      <c r="F31" s="11" t="s">
        <v>149</v>
      </c>
      <c r="G31" s="11">
        <v>1000000030</v>
      </c>
      <c r="H31" s="11" t="s">
        <v>150</v>
      </c>
      <c r="I31" s="11" t="s">
        <v>162</v>
      </c>
      <c r="J31" s="11" t="s">
        <v>162</v>
      </c>
      <c r="K31" s="11" t="s">
        <v>141</v>
      </c>
      <c r="L31" s="70">
        <v>26329</v>
      </c>
      <c r="M31" s="11" t="s">
        <v>285</v>
      </c>
      <c r="N31" s="11">
        <v>3265133407</v>
      </c>
      <c r="O31" s="11" t="s">
        <v>286</v>
      </c>
      <c r="P31" s="11" t="s">
        <v>165</v>
      </c>
      <c r="Q31" s="11" t="s">
        <v>156</v>
      </c>
      <c r="R31" s="68">
        <v>45661</v>
      </c>
      <c r="S31" s="11" t="s">
        <v>174</v>
      </c>
      <c r="T31" s="11" t="s">
        <v>147</v>
      </c>
      <c r="U31" s="11">
        <v>95000</v>
      </c>
      <c r="V31" s="68">
        <v>45702</v>
      </c>
      <c r="W31" s="12">
        <f t="shared" si="8"/>
        <v>1</v>
      </c>
      <c r="X31" s="12">
        <f t="shared" si="9"/>
        <v>1</v>
      </c>
      <c r="Y31" s="12">
        <f t="shared" si="10"/>
        <v>1</v>
      </c>
      <c r="Z31" s="12">
        <f t="shared" si="11"/>
        <v>1</v>
      </c>
      <c r="AA31" s="12">
        <f t="shared" si="12"/>
        <v>1</v>
      </c>
      <c r="AB31" s="12">
        <f t="shared" si="13"/>
        <v>1</v>
      </c>
      <c r="AC31" s="12">
        <f t="shared" si="14"/>
        <v>1</v>
      </c>
      <c r="AD31" s="12">
        <f t="shared" si="42"/>
        <v>1</v>
      </c>
      <c r="AE31" s="12">
        <f t="shared" si="43"/>
        <v>1</v>
      </c>
      <c r="AF31" s="12">
        <f t="shared" si="44"/>
        <v>1</v>
      </c>
      <c r="AG31" s="12">
        <f t="shared" si="45"/>
        <v>1</v>
      </c>
      <c r="AH31" s="12">
        <f t="shared" si="46"/>
        <v>1</v>
      </c>
      <c r="AI31" s="12">
        <f t="shared" si="47"/>
        <v>1</v>
      </c>
      <c r="AJ31" s="12">
        <f t="shared" si="48"/>
        <v>1</v>
      </c>
      <c r="AK31" s="12">
        <f t="shared" si="49"/>
        <v>1</v>
      </c>
      <c r="AL31" s="12">
        <f t="shared" si="50"/>
        <v>1</v>
      </c>
      <c r="AM31" s="12">
        <f t="shared" si="24"/>
        <v>1</v>
      </c>
      <c r="AN31" s="12">
        <f t="shared" si="25"/>
        <v>1</v>
      </c>
      <c r="AO31" s="12">
        <f t="shared" si="26"/>
        <v>1</v>
      </c>
      <c r="AP31" s="12">
        <f t="shared" si="27"/>
        <v>1</v>
      </c>
      <c r="AQ31" s="12">
        <f t="shared" si="28"/>
        <v>1</v>
      </c>
      <c r="AR31" s="12">
        <f t="shared" si="29"/>
        <v>1</v>
      </c>
      <c r="AS31" s="12" cm="1">
        <f t="array" ref="AS31">IF(AND(H31&lt;&gt;"",SUMPRODUCT(--ISNUMBER(FIND({0;1;2;3;4;5;6;7;8;9},H31)))=0),1,0)</f>
        <v>1</v>
      </c>
      <c r="AT31" s="12" cm="1">
        <f t="array" ref="AT31">IF(AND(I31&lt;&gt;"",SUMPRODUCT(--ISNUMBER(FIND({0;1;2;3;4;5;6;7;8;9},I31)))=0),1,0)</f>
        <v>1</v>
      </c>
      <c r="AU31" s="12" cm="1">
        <f t="array" ref="AU31">IF(AND(J31&lt;&gt;"",SUMPRODUCT(--ISNUMBER(FIND({0;1;2;3;4;5;6;7;8;9},J31)))=0),1,0)</f>
        <v>1</v>
      </c>
      <c r="AV31" s="12">
        <f t="shared" si="51"/>
        <v>1</v>
      </c>
      <c r="AW31" s="12">
        <f t="shared" ca="1" si="30"/>
        <v>1</v>
      </c>
      <c r="AX31" s="12">
        <f t="shared" si="31"/>
        <v>1</v>
      </c>
      <c r="AY31" s="12">
        <f t="shared" si="32"/>
        <v>1</v>
      </c>
      <c r="AZ31" s="12">
        <f t="shared" si="33"/>
        <v>1</v>
      </c>
      <c r="BA31" s="12">
        <f t="shared" si="34"/>
        <v>1</v>
      </c>
      <c r="BB31" s="12">
        <f t="shared" si="35"/>
        <v>1</v>
      </c>
      <c r="BC31" s="12">
        <f t="shared" ca="1" si="36"/>
        <v>1</v>
      </c>
      <c r="BD31" s="12">
        <f t="shared" si="37"/>
        <v>1</v>
      </c>
      <c r="BE31" s="12">
        <f t="shared" si="38"/>
        <v>1</v>
      </c>
      <c r="BF31" s="12">
        <f t="shared" si="39"/>
        <v>1</v>
      </c>
      <c r="BG31" s="12">
        <f t="shared" ca="1" si="40"/>
        <v>1</v>
      </c>
    </row>
    <row r="32" spans="1:59" ht="15.75" customHeight="1" x14ac:dyDescent="0.2">
      <c r="A32" s="19">
        <f t="shared" si="4"/>
        <v>1</v>
      </c>
      <c r="B32" s="20">
        <f t="shared" si="5"/>
        <v>1</v>
      </c>
      <c r="C32" s="20">
        <f t="shared" ca="1" si="6"/>
        <v>1</v>
      </c>
      <c r="D32" s="50">
        <f t="shared" ca="1" si="41"/>
        <v>0</v>
      </c>
      <c r="E32" s="11" t="s">
        <v>287</v>
      </c>
      <c r="F32" s="11" t="s">
        <v>137</v>
      </c>
      <c r="G32" s="11">
        <v>1000000031</v>
      </c>
      <c r="H32" s="11" t="s">
        <v>176</v>
      </c>
      <c r="I32" s="11" t="s">
        <v>169</v>
      </c>
      <c r="J32" s="11" t="s">
        <v>169</v>
      </c>
      <c r="K32" s="11" t="s">
        <v>141</v>
      </c>
      <c r="L32" s="70">
        <v>36956</v>
      </c>
      <c r="M32" s="11" t="s">
        <v>288</v>
      </c>
      <c r="N32" s="11">
        <v>3196453482</v>
      </c>
      <c r="O32" s="11" t="s">
        <v>289</v>
      </c>
      <c r="P32" s="11" t="s">
        <v>217</v>
      </c>
      <c r="Q32" s="11" t="s">
        <v>218</v>
      </c>
      <c r="R32" s="68">
        <v>44597</v>
      </c>
      <c r="S32" s="11" t="s">
        <v>174</v>
      </c>
      <c r="T32" s="11" t="s">
        <v>158</v>
      </c>
      <c r="U32" s="11">
        <v>90000</v>
      </c>
      <c r="V32" s="68">
        <v>44945</v>
      </c>
      <c r="W32" s="12">
        <f t="shared" si="8"/>
        <v>1</v>
      </c>
      <c r="X32" s="12">
        <f t="shared" si="9"/>
        <v>1</v>
      </c>
      <c r="Y32" s="12">
        <f t="shared" si="10"/>
        <v>1</v>
      </c>
      <c r="Z32" s="12">
        <f t="shared" si="11"/>
        <v>1</v>
      </c>
      <c r="AA32" s="12">
        <f t="shared" si="12"/>
        <v>1</v>
      </c>
      <c r="AB32" s="12">
        <f t="shared" si="13"/>
        <v>1</v>
      </c>
      <c r="AC32" s="12">
        <f t="shared" si="14"/>
        <v>1</v>
      </c>
      <c r="AD32" s="12">
        <f t="shared" si="42"/>
        <v>1</v>
      </c>
      <c r="AE32" s="12">
        <f t="shared" si="43"/>
        <v>1</v>
      </c>
      <c r="AF32" s="12">
        <f t="shared" si="44"/>
        <v>1</v>
      </c>
      <c r="AG32" s="12">
        <f t="shared" si="45"/>
        <v>1</v>
      </c>
      <c r="AH32" s="12">
        <f t="shared" si="46"/>
        <v>1</v>
      </c>
      <c r="AI32" s="12">
        <f t="shared" si="47"/>
        <v>1</v>
      </c>
      <c r="AJ32" s="12">
        <f t="shared" si="48"/>
        <v>1</v>
      </c>
      <c r="AK32" s="12">
        <f t="shared" si="49"/>
        <v>1</v>
      </c>
      <c r="AL32" s="12">
        <f t="shared" si="50"/>
        <v>1</v>
      </c>
      <c r="AM32" s="12">
        <f t="shared" si="24"/>
        <v>1</v>
      </c>
      <c r="AN32" s="12">
        <f t="shared" si="25"/>
        <v>1</v>
      </c>
      <c r="AO32" s="12">
        <f t="shared" si="26"/>
        <v>1</v>
      </c>
      <c r="AP32" s="12">
        <f t="shared" si="27"/>
        <v>1</v>
      </c>
      <c r="AQ32" s="12">
        <f t="shared" si="28"/>
        <v>1</v>
      </c>
      <c r="AR32" s="12">
        <f t="shared" si="29"/>
        <v>1</v>
      </c>
      <c r="AS32" s="12" cm="1">
        <f t="array" ref="AS32">IF(AND(H32&lt;&gt;"",SUMPRODUCT(--ISNUMBER(FIND({0;1;2;3;4;5;6;7;8;9},H32)))=0),1,0)</f>
        <v>1</v>
      </c>
      <c r="AT32" s="12" cm="1">
        <f t="array" ref="AT32">IF(AND(I32&lt;&gt;"",SUMPRODUCT(--ISNUMBER(FIND({0;1;2;3;4;5;6;7;8;9},I32)))=0),1,0)</f>
        <v>1</v>
      </c>
      <c r="AU32" s="12" cm="1">
        <f t="array" ref="AU32">IF(AND(J32&lt;&gt;"",SUMPRODUCT(--ISNUMBER(FIND({0;1;2;3;4;5;6;7;8;9},J32)))=0),1,0)</f>
        <v>1</v>
      </c>
      <c r="AV32" s="12">
        <f t="shared" si="51"/>
        <v>1</v>
      </c>
      <c r="AW32" s="12">
        <f t="shared" ca="1" si="30"/>
        <v>1</v>
      </c>
      <c r="AX32" s="12">
        <f t="shared" si="31"/>
        <v>1</v>
      </c>
      <c r="AY32" s="12">
        <f t="shared" si="32"/>
        <v>1</v>
      </c>
      <c r="AZ32" s="12">
        <f t="shared" si="33"/>
        <v>1</v>
      </c>
      <c r="BA32" s="12">
        <f t="shared" si="34"/>
        <v>1</v>
      </c>
      <c r="BB32" s="12">
        <f t="shared" si="35"/>
        <v>1</v>
      </c>
      <c r="BC32" s="12">
        <f t="shared" ca="1" si="36"/>
        <v>1</v>
      </c>
      <c r="BD32" s="12">
        <f t="shared" si="37"/>
        <v>1</v>
      </c>
      <c r="BE32" s="12">
        <f t="shared" si="38"/>
        <v>1</v>
      </c>
      <c r="BF32" s="12">
        <f t="shared" si="39"/>
        <v>1</v>
      </c>
      <c r="BG32" s="12">
        <f t="shared" ca="1" si="40"/>
        <v>1</v>
      </c>
    </row>
    <row r="33" spans="1:59" ht="15.75" customHeight="1" x14ac:dyDescent="0.2">
      <c r="A33" s="19">
        <f t="shared" si="4"/>
        <v>1</v>
      </c>
      <c r="B33" s="20">
        <f t="shared" si="5"/>
        <v>0</v>
      </c>
      <c r="C33" s="20">
        <f t="shared" ca="1" si="6"/>
        <v>0</v>
      </c>
      <c r="D33" s="50">
        <f t="shared" ca="1" si="41"/>
        <v>1</v>
      </c>
      <c r="E33" s="11" t="s">
        <v>290</v>
      </c>
      <c r="F33" s="11" t="s">
        <v>160</v>
      </c>
      <c r="G33" s="11">
        <v>1000000032</v>
      </c>
      <c r="I33" s="11" t="s">
        <v>169</v>
      </c>
      <c r="J33" s="11" t="s">
        <v>139</v>
      </c>
      <c r="K33" s="11" t="s">
        <v>141</v>
      </c>
      <c r="L33" s="70">
        <v>26752</v>
      </c>
      <c r="M33" s="11" t="s">
        <v>291</v>
      </c>
      <c r="N33" s="11">
        <v>3678279836</v>
      </c>
      <c r="O33" s="11" t="s">
        <v>292</v>
      </c>
      <c r="P33" s="11" t="s">
        <v>217</v>
      </c>
      <c r="Q33" s="11" t="s">
        <v>218</v>
      </c>
      <c r="R33" s="68">
        <v>45980</v>
      </c>
      <c r="S33" s="11" t="s">
        <v>157</v>
      </c>
      <c r="T33" s="11" t="s">
        <v>166</v>
      </c>
      <c r="U33" s="11">
        <v>85000</v>
      </c>
      <c r="V33" s="68">
        <v>46189</v>
      </c>
      <c r="W33" s="12">
        <f t="shared" si="8"/>
        <v>1</v>
      </c>
      <c r="X33" s="12">
        <f t="shared" si="9"/>
        <v>1</v>
      </c>
      <c r="Y33" s="12">
        <f t="shared" si="10"/>
        <v>1</v>
      </c>
      <c r="Z33" s="12">
        <f t="shared" si="11"/>
        <v>1</v>
      </c>
      <c r="AA33" s="12">
        <f t="shared" si="12"/>
        <v>1</v>
      </c>
      <c r="AB33" s="12">
        <f t="shared" si="13"/>
        <v>0</v>
      </c>
      <c r="AC33" s="12">
        <f t="shared" si="14"/>
        <v>1</v>
      </c>
      <c r="AD33" s="12">
        <f t="shared" si="42"/>
        <v>1</v>
      </c>
      <c r="AE33" s="12">
        <f t="shared" si="43"/>
        <v>1</v>
      </c>
      <c r="AF33" s="12">
        <f t="shared" si="44"/>
        <v>1</v>
      </c>
      <c r="AG33" s="12">
        <f t="shared" si="45"/>
        <v>1</v>
      </c>
      <c r="AH33" s="12">
        <f t="shared" si="46"/>
        <v>1</v>
      </c>
      <c r="AI33" s="12">
        <f t="shared" si="47"/>
        <v>1</v>
      </c>
      <c r="AJ33" s="12">
        <f t="shared" si="48"/>
        <v>1</v>
      </c>
      <c r="AK33" s="12">
        <f t="shared" si="49"/>
        <v>1</v>
      </c>
      <c r="AL33" s="12">
        <f t="shared" si="50"/>
        <v>1</v>
      </c>
      <c r="AM33" s="12">
        <f t="shared" si="24"/>
        <v>1</v>
      </c>
      <c r="AN33" s="12">
        <f t="shared" si="25"/>
        <v>1</v>
      </c>
      <c r="AO33" s="12">
        <f t="shared" si="26"/>
        <v>1</v>
      </c>
      <c r="AP33" s="12">
        <f t="shared" si="27"/>
        <v>1</v>
      </c>
      <c r="AQ33" s="12">
        <f t="shared" si="28"/>
        <v>1</v>
      </c>
      <c r="AR33" s="12">
        <f t="shared" si="29"/>
        <v>1</v>
      </c>
      <c r="AS33" s="12" cm="1">
        <f t="array" ref="AS33">IF(AND(H33&lt;&gt;"",SUMPRODUCT(--ISNUMBER(FIND({0;1;2;3;4;5;6;7;8;9},H33)))=0),1,0)</f>
        <v>0</v>
      </c>
      <c r="AT33" s="12" cm="1">
        <f t="array" ref="AT33">IF(AND(I33&lt;&gt;"",SUMPRODUCT(--ISNUMBER(FIND({0;1;2;3;4;5;6;7;8;9},I33)))=0),1,0)</f>
        <v>1</v>
      </c>
      <c r="AU33" s="12" cm="1">
        <f t="array" ref="AU33">IF(AND(J33&lt;&gt;"",SUMPRODUCT(--ISNUMBER(FIND({0;1;2;3;4;5;6;7;8;9},J33)))=0),1,0)</f>
        <v>1</v>
      </c>
      <c r="AV33" s="12">
        <f t="shared" si="51"/>
        <v>1</v>
      </c>
      <c r="AW33" s="12">
        <f t="shared" ca="1" si="30"/>
        <v>1</v>
      </c>
      <c r="AX33" s="12">
        <f t="shared" si="31"/>
        <v>1</v>
      </c>
      <c r="AY33" s="12">
        <f t="shared" si="32"/>
        <v>1</v>
      </c>
      <c r="AZ33" s="12">
        <f t="shared" si="33"/>
        <v>1</v>
      </c>
      <c r="BA33" s="12">
        <f t="shared" si="34"/>
        <v>1</v>
      </c>
      <c r="BB33" s="12">
        <f t="shared" si="35"/>
        <v>1</v>
      </c>
      <c r="BC33" s="12">
        <f t="shared" ca="1" si="36"/>
        <v>1</v>
      </c>
      <c r="BD33" s="12">
        <f t="shared" si="37"/>
        <v>1</v>
      </c>
      <c r="BE33" s="12">
        <f t="shared" si="38"/>
        <v>1</v>
      </c>
      <c r="BF33" s="12">
        <f t="shared" si="39"/>
        <v>1</v>
      </c>
      <c r="BG33" s="12">
        <f t="shared" ca="1" si="40"/>
        <v>0</v>
      </c>
    </row>
    <row r="34" spans="1:59" ht="15.75" customHeight="1" x14ac:dyDescent="0.2">
      <c r="A34" s="19">
        <f t="shared" si="4"/>
        <v>1</v>
      </c>
      <c r="B34" s="20">
        <f t="shared" si="5"/>
        <v>1</v>
      </c>
      <c r="C34" s="20">
        <f t="shared" ca="1" si="6"/>
        <v>0</v>
      </c>
      <c r="D34" s="50">
        <f t="shared" ca="1" si="41"/>
        <v>1</v>
      </c>
      <c r="E34" s="11" t="s">
        <v>293</v>
      </c>
      <c r="F34" s="11" t="s">
        <v>137</v>
      </c>
      <c r="G34" s="11">
        <v>1000000033</v>
      </c>
      <c r="H34" s="11" t="s">
        <v>294</v>
      </c>
      <c r="I34" s="11" t="s">
        <v>139</v>
      </c>
      <c r="J34" s="11" t="s">
        <v>139</v>
      </c>
      <c r="K34" s="11" t="s">
        <v>185</v>
      </c>
      <c r="L34" s="70">
        <v>35352</v>
      </c>
      <c r="M34" s="11" t="s">
        <v>190</v>
      </c>
      <c r="N34" s="11">
        <v>3713333937</v>
      </c>
      <c r="O34" s="11" t="s">
        <v>295</v>
      </c>
      <c r="P34" s="11" t="s">
        <v>217</v>
      </c>
      <c r="Q34" s="11" t="s">
        <v>218</v>
      </c>
      <c r="R34" s="68">
        <v>44678</v>
      </c>
      <c r="S34" s="11" t="s">
        <v>157</v>
      </c>
      <c r="T34" s="11" t="s">
        <v>158</v>
      </c>
      <c r="U34" s="11">
        <v>85000</v>
      </c>
      <c r="V34" s="68">
        <v>44913</v>
      </c>
      <c r="W34" s="12">
        <f t="shared" si="8"/>
        <v>1</v>
      </c>
      <c r="X34" s="12">
        <f t="shared" si="9"/>
        <v>1</v>
      </c>
      <c r="Y34" s="12">
        <f t="shared" si="10"/>
        <v>1</v>
      </c>
      <c r="Z34" s="12">
        <f t="shared" si="11"/>
        <v>1</v>
      </c>
      <c r="AA34" s="12">
        <f t="shared" si="12"/>
        <v>1</v>
      </c>
      <c r="AB34" s="12">
        <f t="shared" si="13"/>
        <v>1</v>
      </c>
      <c r="AC34" s="12">
        <f t="shared" si="14"/>
        <v>1</v>
      </c>
      <c r="AD34" s="12">
        <f t="shared" si="42"/>
        <v>1</v>
      </c>
      <c r="AE34" s="12">
        <f t="shared" si="43"/>
        <v>1</v>
      </c>
      <c r="AF34" s="12">
        <f t="shared" si="44"/>
        <v>1</v>
      </c>
      <c r="AG34" s="12">
        <f t="shared" si="45"/>
        <v>1</v>
      </c>
      <c r="AH34" s="12">
        <f t="shared" si="46"/>
        <v>1</v>
      </c>
      <c r="AI34" s="12">
        <f t="shared" si="47"/>
        <v>1</v>
      </c>
      <c r="AJ34" s="12">
        <f t="shared" si="48"/>
        <v>1</v>
      </c>
      <c r="AK34" s="12">
        <f t="shared" si="49"/>
        <v>1</v>
      </c>
      <c r="AL34" s="12">
        <f t="shared" si="50"/>
        <v>1</v>
      </c>
      <c r="AM34" s="12">
        <f t="shared" si="24"/>
        <v>1</v>
      </c>
      <c r="AN34" s="12">
        <f t="shared" si="25"/>
        <v>1</v>
      </c>
      <c r="AO34" s="12">
        <f t="shared" si="26"/>
        <v>1</v>
      </c>
      <c r="AP34" s="12">
        <f t="shared" si="27"/>
        <v>1</v>
      </c>
      <c r="AQ34" s="12">
        <f t="shared" si="28"/>
        <v>1</v>
      </c>
      <c r="AR34" s="12">
        <f t="shared" si="29"/>
        <v>1</v>
      </c>
      <c r="AS34" s="12" cm="1">
        <f t="array" ref="AS34">IF(AND(H34&lt;&gt;"",SUMPRODUCT(--ISNUMBER(FIND({0;1;2;3;4;5;6;7;8;9},H34)))=0),1,0)</f>
        <v>1</v>
      </c>
      <c r="AT34" s="12" cm="1">
        <f t="array" ref="AT34">IF(AND(I34&lt;&gt;"",SUMPRODUCT(--ISNUMBER(FIND({0;1;2;3;4;5;6;7;8;9},I34)))=0),1,0)</f>
        <v>1</v>
      </c>
      <c r="AU34" s="12" cm="1">
        <f t="array" ref="AU34">IF(AND(J34&lt;&gt;"",SUMPRODUCT(--ISNUMBER(FIND({0;1;2;3;4;5;6;7;8;9},J34)))=0),1,0)</f>
        <v>1</v>
      </c>
      <c r="AV34" s="12">
        <f t="shared" si="51"/>
        <v>1</v>
      </c>
      <c r="AW34" s="12">
        <f t="shared" ca="1" si="30"/>
        <v>1</v>
      </c>
      <c r="AX34" s="12">
        <f t="shared" si="31"/>
        <v>0</v>
      </c>
      <c r="AY34" s="12">
        <f t="shared" si="32"/>
        <v>1</v>
      </c>
      <c r="AZ34" s="12">
        <f t="shared" si="33"/>
        <v>1</v>
      </c>
      <c r="BA34" s="12">
        <f t="shared" si="34"/>
        <v>1</v>
      </c>
      <c r="BB34" s="12">
        <f t="shared" si="35"/>
        <v>1</v>
      </c>
      <c r="BC34" s="12">
        <f t="shared" ca="1" si="36"/>
        <v>1</v>
      </c>
      <c r="BD34" s="12">
        <f t="shared" si="37"/>
        <v>1</v>
      </c>
      <c r="BE34" s="12">
        <f t="shared" si="38"/>
        <v>1</v>
      </c>
      <c r="BF34" s="12">
        <f t="shared" si="39"/>
        <v>1</v>
      </c>
      <c r="BG34" s="12">
        <f t="shared" ca="1" si="40"/>
        <v>1</v>
      </c>
    </row>
    <row r="35" spans="1:59" ht="15.75" customHeight="1" x14ac:dyDescent="0.2">
      <c r="A35" s="19">
        <f t="shared" si="4"/>
        <v>1</v>
      </c>
      <c r="B35" s="20">
        <f t="shared" si="5"/>
        <v>1</v>
      </c>
      <c r="C35" s="20">
        <f t="shared" ca="1" si="6"/>
        <v>1</v>
      </c>
      <c r="D35" s="50">
        <f t="shared" ca="1" si="41"/>
        <v>0</v>
      </c>
      <c r="E35" s="11" t="s">
        <v>296</v>
      </c>
      <c r="F35" s="11" t="s">
        <v>137</v>
      </c>
      <c r="G35" s="11">
        <v>1000000034</v>
      </c>
      <c r="H35" s="11" t="s">
        <v>138</v>
      </c>
      <c r="I35" s="11" t="s">
        <v>267</v>
      </c>
      <c r="J35" s="11" t="s">
        <v>221</v>
      </c>
      <c r="K35" s="11" t="s">
        <v>141</v>
      </c>
      <c r="L35" s="70">
        <v>37034</v>
      </c>
      <c r="M35" s="11" t="s">
        <v>297</v>
      </c>
      <c r="N35" s="11">
        <v>3309866083</v>
      </c>
      <c r="O35" s="11" t="s">
        <v>298</v>
      </c>
      <c r="P35" s="11" t="s">
        <v>144</v>
      </c>
      <c r="Q35" s="11" t="s">
        <v>145</v>
      </c>
      <c r="R35" s="68">
        <v>45001</v>
      </c>
      <c r="S35" s="11" t="s">
        <v>146</v>
      </c>
      <c r="T35" s="11" t="s">
        <v>166</v>
      </c>
      <c r="U35" s="11">
        <v>95000</v>
      </c>
      <c r="V35" s="68">
        <v>45192</v>
      </c>
      <c r="W35" s="12">
        <f t="shared" si="8"/>
        <v>1</v>
      </c>
      <c r="X35" s="12">
        <f t="shared" si="9"/>
        <v>1</v>
      </c>
      <c r="Y35" s="12">
        <f t="shared" si="10"/>
        <v>1</v>
      </c>
      <c r="Z35" s="12">
        <f t="shared" si="11"/>
        <v>1</v>
      </c>
      <c r="AA35" s="12">
        <f t="shared" si="12"/>
        <v>1</v>
      </c>
      <c r="AB35" s="12">
        <f t="shared" si="13"/>
        <v>1</v>
      </c>
      <c r="AC35" s="12">
        <f t="shared" si="14"/>
        <v>1</v>
      </c>
      <c r="AD35" s="12">
        <f t="shared" si="42"/>
        <v>1</v>
      </c>
      <c r="AE35" s="12">
        <f t="shared" si="43"/>
        <v>1</v>
      </c>
      <c r="AF35" s="12">
        <f t="shared" si="44"/>
        <v>1</v>
      </c>
      <c r="AG35" s="12">
        <f t="shared" si="45"/>
        <v>1</v>
      </c>
      <c r="AH35" s="12">
        <f t="shared" si="46"/>
        <v>1</v>
      </c>
      <c r="AI35" s="12">
        <f t="shared" si="47"/>
        <v>1</v>
      </c>
      <c r="AJ35" s="12">
        <f t="shared" si="48"/>
        <v>1</v>
      </c>
      <c r="AK35" s="12">
        <f t="shared" si="49"/>
        <v>1</v>
      </c>
      <c r="AL35" s="12">
        <f t="shared" si="50"/>
        <v>1</v>
      </c>
      <c r="AM35" s="12">
        <f t="shared" si="24"/>
        <v>1</v>
      </c>
      <c r="AN35" s="12">
        <f t="shared" si="25"/>
        <v>1</v>
      </c>
      <c r="AO35" s="12">
        <f t="shared" si="26"/>
        <v>1</v>
      </c>
      <c r="AP35" s="12">
        <f t="shared" si="27"/>
        <v>1</v>
      </c>
      <c r="AQ35" s="12">
        <f t="shared" si="28"/>
        <v>1</v>
      </c>
      <c r="AR35" s="12">
        <f t="shared" si="29"/>
        <v>1</v>
      </c>
      <c r="AS35" s="12" cm="1">
        <f t="array" ref="AS35">IF(AND(H35&lt;&gt;"",SUMPRODUCT(--ISNUMBER(FIND({0;1;2;3;4;5;6;7;8;9},H35)))=0),1,0)</f>
        <v>1</v>
      </c>
      <c r="AT35" s="12" cm="1">
        <f t="array" ref="AT35">IF(AND(I35&lt;&gt;"",SUMPRODUCT(--ISNUMBER(FIND({0;1;2;3;4;5;6;7;8;9},I35)))=0),1,0)</f>
        <v>1</v>
      </c>
      <c r="AU35" s="12" cm="1">
        <f t="array" ref="AU35">IF(AND(J35&lt;&gt;"",SUMPRODUCT(--ISNUMBER(FIND({0;1;2;3;4;5;6;7;8;9},J35)))=0),1,0)</f>
        <v>1</v>
      </c>
      <c r="AV35" s="12">
        <f t="shared" si="51"/>
        <v>1</v>
      </c>
      <c r="AW35" s="12">
        <f t="shared" ca="1" si="30"/>
        <v>1</v>
      </c>
      <c r="AX35" s="12">
        <f t="shared" si="31"/>
        <v>1</v>
      </c>
      <c r="AY35" s="12">
        <f t="shared" si="32"/>
        <v>1</v>
      </c>
      <c r="AZ35" s="12">
        <f t="shared" si="33"/>
        <v>1</v>
      </c>
      <c r="BA35" s="12">
        <f t="shared" si="34"/>
        <v>1</v>
      </c>
      <c r="BB35" s="12">
        <f t="shared" si="35"/>
        <v>1</v>
      </c>
      <c r="BC35" s="12">
        <f t="shared" ca="1" si="36"/>
        <v>1</v>
      </c>
      <c r="BD35" s="12">
        <f t="shared" si="37"/>
        <v>1</v>
      </c>
      <c r="BE35" s="12">
        <f t="shared" si="38"/>
        <v>1</v>
      </c>
      <c r="BF35" s="12">
        <f t="shared" si="39"/>
        <v>1</v>
      </c>
      <c r="BG35" s="12">
        <f t="shared" ca="1" si="40"/>
        <v>1</v>
      </c>
    </row>
    <row r="36" spans="1:59" ht="15.75" customHeight="1" x14ac:dyDescent="0.2">
      <c r="A36" s="19">
        <f t="shared" si="4"/>
        <v>1</v>
      </c>
      <c r="B36" s="20">
        <f t="shared" si="5"/>
        <v>1</v>
      </c>
      <c r="C36" s="20">
        <f t="shared" ca="1" si="6"/>
        <v>0</v>
      </c>
      <c r="D36" s="50">
        <f t="shared" ca="1" si="41"/>
        <v>1</v>
      </c>
      <c r="E36" s="11" t="s">
        <v>299</v>
      </c>
      <c r="F36" s="11" t="s">
        <v>137</v>
      </c>
      <c r="G36" s="11">
        <v>1000000035</v>
      </c>
      <c r="H36" s="11" t="s">
        <v>207</v>
      </c>
      <c r="I36" s="11" t="s">
        <v>151</v>
      </c>
      <c r="J36" s="11" t="s">
        <v>227</v>
      </c>
      <c r="K36" s="11" t="s">
        <v>141</v>
      </c>
      <c r="L36" s="70">
        <v>28043</v>
      </c>
      <c r="M36" s="11" t="s">
        <v>300</v>
      </c>
      <c r="N36" s="11">
        <v>3733457725</v>
      </c>
      <c r="O36" s="11" t="s">
        <v>301</v>
      </c>
      <c r="P36" s="11" t="s">
        <v>165</v>
      </c>
      <c r="Q36" s="11" t="s">
        <v>156</v>
      </c>
      <c r="R36" s="68">
        <v>46099</v>
      </c>
      <c r="S36" s="11" t="s">
        <v>146</v>
      </c>
      <c r="T36" s="11" t="s">
        <v>147</v>
      </c>
      <c r="U36" s="11">
        <v>85000</v>
      </c>
      <c r="V36" s="68">
        <v>46389</v>
      </c>
      <c r="W36" s="12">
        <f t="shared" si="8"/>
        <v>1</v>
      </c>
      <c r="X36" s="12">
        <f t="shared" si="9"/>
        <v>1</v>
      </c>
      <c r="Y36" s="12">
        <f t="shared" si="10"/>
        <v>1</v>
      </c>
      <c r="Z36" s="12">
        <f t="shared" si="11"/>
        <v>1</v>
      </c>
      <c r="AA36" s="12">
        <f t="shared" si="12"/>
        <v>1</v>
      </c>
      <c r="AB36" s="12">
        <f t="shared" si="13"/>
        <v>1</v>
      </c>
      <c r="AC36" s="12">
        <f t="shared" si="14"/>
        <v>1</v>
      </c>
      <c r="AD36" s="12">
        <f t="shared" si="42"/>
        <v>1</v>
      </c>
      <c r="AE36" s="12">
        <f t="shared" si="43"/>
        <v>1</v>
      </c>
      <c r="AF36" s="12">
        <f t="shared" si="44"/>
        <v>1</v>
      </c>
      <c r="AG36" s="12">
        <f t="shared" si="45"/>
        <v>1</v>
      </c>
      <c r="AH36" s="12">
        <f t="shared" si="46"/>
        <v>1</v>
      </c>
      <c r="AI36" s="12">
        <f t="shared" si="47"/>
        <v>1</v>
      </c>
      <c r="AJ36" s="12">
        <f t="shared" si="48"/>
        <v>1</v>
      </c>
      <c r="AK36" s="12">
        <f t="shared" si="49"/>
        <v>1</v>
      </c>
      <c r="AL36" s="12">
        <f t="shared" si="50"/>
        <v>1</v>
      </c>
      <c r="AM36" s="12">
        <f t="shared" si="24"/>
        <v>1</v>
      </c>
      <c r="AN36" s="12">
        <f t="shared" si="25"/>
        <v>1</v>
      </c>
      <c r="AO36" s="12">
        <f t="shared" si="26"/>
        <v>1</v>
      </c>
      <c r="AP36" s="12">
        <f t="shared" si="27"/>
        <v>1</v>
      </c>
      <c r="AQ36" s="12">
        <f t="shared" si="28"/>
        <v>1</v>
      </c>
      <c r="AR36" s="12">
        <f t="shared" si="29"/>
        <v>1</v>
      </c>
      <c r="AS36" s="12" cm="1">
        <f t="array" ref="AS36">IF(AND(H36&lt;&gt;"",SUMPRODUCT(--ISNUMBER(FIND({0;1;2;3;4;5;6;7;8;9},H36)))=0),1,0)</f>
        <v>1</v>
      </c>
      <c r="AT36" s="12" cm="1">
        <f t="array" ref="AT36">IF(AND(I36&lt;&gt;"",SUMPRODUCT(--ISNUMBER(FIND({0;1;2;3;4;5;6;7;8;9},I36)))=0),1,0)</f>
        <v>1</v>
      </c>
      <c r="AU36" s="12" cm="1">
        <f t="array" ref="AU36">IF(AND(J36&lt;&gt;"",SUMPRODUCT(--ISNUMBER(FIND({0;1;2;3;4;5;6;7;8;9},J36)))=0),1,0)</f>
        <v>1</v>
      </c>
      <c r="AV36" s="12">
        <f t="shared" si="51"/>
        <v>1</v>
      </c>
      <c r="AW36" s="12">
        <f t="shared" ca="1" si="30"/>
        <v>1</v>
      </c>
      <c r="AX36" s="12">
        <f t="shared" si="31"/>
        <v>1</v>
      </c>
      <c r="AY36" s="12">
        <f t="shared" si="32"/>
        <v>1</v>
      </c>
      <c r="AZ36" s="12">
        <f t="shared" si="33"/>
        <v>1</v>
      </c>
      <c r="BA36" s="12">
        <f t="shared" si="34"/>
        <v>1</v>
      </c>
      <c r="BB36" s="12">
        <f t="shared" si="35"/>
        <v>1</v>
      </c>
      <c r="BC36" s="12">
        <f t="shared" ca="1" si="36"/>
        <v>1</v>
      </c>
      <c r="BD36" s="12">
        <f t="shared" si="37"/>
        <v>1</v>
      </c>
      <c r="BE36" s="12">
        <f t="shared" si="38"/>
        <v>1</v>
      </c>
      <c r="BF36" s="12">
        <f t="shared" si="39"/>
        <v>1</v>
      </c>
      <c r="BG36" s="12">
        <f t="shared" ca="1" si="40"/>
        <v>0</v>
      </c>
    </row>
    <row r="37" spans="1:59" ht="15.75" customHeight="1" x14ac:dyDescent="0.2">
      <c r="A37" s="19">
        <f t="shared" si="4"/>
        <v>1</v>
      </c>
      <c r="B37" s="20">
        <f t="shared" si="5"/>
        <v>1</v>
      </c>
      <c r="C37" s="20">
        <f t="shared" ca="1" si="6"/>
        <v>1</v>
      </c>
      <c r="D37" s="50">
        <f t="shared" ca="1" si="41"/>
        <v>0</v>
      </c>
      <c r="E37" s="11" t="s">
        <v>302</v>
      </c>
      <c r="F37" s="11" t="s">
        <v>149</v>
      </c>
      <c r="G37" s="11">
        <v>1000000036</v>
      </c>
      <c r="H37" s="11" t="s">
        <v>138</v>
      </c>
      <c r="I37" s="11" t="s">
        <v>195</v>
      </c>
      <c r="J37" s="11" t="s">
        <v>212</v>
      </c>
      <c r="K37" s="11" t="s">
        <v>141</v>
      </c>
      <c r="L37" s="70">
        <v>32741</v>
      </c>
      <c r="M37" s="11" t="s">
        <v>303</v>
      </c>
      <c r="N37" s="11">
        <v>3730613146</v>
      </c>
      <c r="O37" s="11" t="s">
        <v>304</v>
      </c>
      <c r="P37" s="11" t="s">
        <v>144</v>
      </c>
      <c r="Q37" s="11" t="s">
        <v>145</v>
      </c>
      <c r="R37" s="68">
        <v>45661</v>
      </c>
      <c r="S37" s="11" t="s">
        <v>174</v>
      </c>
      <c r="T37" s="11" t="s">
        <v>158</v>
      </c>
      <c r="U37" s="11">
        <v>95000</v>
      </c>
      <c r="V37" s="68">
        <v>45762</v>
      </c>
      <c r="W37" s="12">
        <f t="shared" si="8"/>
        <v>1</v>
      </c>
      <c r="X37" s="12">
        <f t="shared" si="9"/>
        <v>1</v>
      </c>
      <c r="Y37" s="12">
        <f t="shared" si="10"/>
        <v>1</v>
      </c>
      <c r="Z37" s="12">
        <f t="shared" si="11"/>
        <v>1</v>
      </c>
      <c r="AA37" s="12">
        <f t="shared" si="12"/>
        <v>1</v>
      </c>
      <c r="AB37" s="12">
        <f t="shared" si="13"/>
        <v>1</v>
      </c>
      <c r="AC37" s="12">
        <f t="shared" si="14"/>
        <v>1</v>
      </c>
      <c r="AD37" s="12">
        <f t="shared" si="42"/>
        <v>1</v>
      </c>
      <c r="AE37" s="12">
        <f t="shared" si="43"/>
        <v>1</v>
      </c>
      <c r="AF37" s="12">
        <f t="shared" si="44"/>
        <v>1</v>
      </c>
      <c r="AG37" s="12">
        <f t="shared" si="45"/>
        <v>1</v>
      </c>
      <c r="AH37" s="12">
        <f t="shared" si="46"/>
        <v>1</v>
      </c>
      <c r="AI37" s="12">
        <f t="shared" si="47"/>
        <v>1</v>
      </c>
      <c r="AJ37" s="12">
        <f t="shared" si="48"/>
        <v>1</v>
      </c>
      <c r="AK37" s="12">
        <f t="shared" si="49"/>
        <v>1</v>
      </c>
      <c r="AL37" s="12">
        <f t="shared" si="50"/>
        <v>1</v>
      </c>
      <c r="AM37" s="12">
        <f t="shared" si="24"/>
        <v>1</v>
      </c>
      <c r="AN37" s="12">
        <f t="shared" si="25"/>
        <v>1</v>
      </c>
      <c r="AO37" s="12">
        <f t="shared" si="26"/>
        <v>1</v>
      </c>
      <c r="AP37" s="12">
        <f t="shared" si="27"/>
        <v>1</v>
      </c>
      <c r="AQ37" s="12">
        <f t="shared" si="28"/>
        <v>1</v>
      </c>
      <c r="AR37" s="12">
        <f t="shared" si="29"/>
        <v>1</v>
      </c>
      <c r="AS37" s="12" cm="1">
        <f t="array" ref="AS37">IF(AND(H37&lt;&gt;"",SUMPRODUCT(--ISNUMBER(FIND({0;1;2;3;4;5;6;7;8;9},H37)))=0),1,0)</f>
        <v>1</v>
      </c>
      <c r="AT37" s="12" cm="1">
        <f t="array" ref="AT37">IF(AND(I37&lt;&gt;"",SUMPRODUCT(--ISNUMBER(FIND({0;1;2;3;4;5;6;7;8;9},I37)))=0),1,0)</f>
        <v>1</v>
      </c>
      <c r="AU37" s="12" cm="1">
        <f t="array" ref="AU37">IF(AND(J37&lt;&gt;"",SUMPRODUCT(--ISNUMBER(FIND({0;1;2;3;4;5;6;7;8;9},J37)))=0),1,0)</f>
        <v>1</v>
      </c>
      <c r="AV37" s="12">
        <f t="shared" si="51"/>
        <v>1</v>
      </c>
      <c r="AW37" s="12">
        <f t="shared" ca="1" si="30"/>
        <v>1</v>
      </c>
      <c r="AX37" s="12">
        <f t="shared" si="31"/>
        <v>1</v>
      </c>
      <c r="AY37" s="12">
        <f t="shared" si="32"/>
        <v>1</v>
      </c>
      <c r="AZ37" s="12">
        <f t="shared" si="33"/>
        <v>1</v>
      </c>
      <c r="BA37" s="12">
        <f t="shared" si="34"/>
        <v>1</v>
      </c>
      <c r="BB37" s="12">
        <f t="shared" si="35"/>
        <v>1</v>
      </c>
      <c r="BC37" s="12">
        <f t="shared" ca="1" si="36"/>
        <v>1</v>
      </c>
      <c r="BD37" s="12">
        <f t="shared" si="37"/>
        <v>1</v>
      </c>
      <c r="BE37" s="12">
        <f t="shared" si="38"/>
        <v>1</v>
      </c>
      <c r="BF37" s="12">
        <f t="shared" si="39"/>
        <v>1</v>
      </c>
      <c r="BG37" s="12">
        <f t="shared" ca="1" si="40"/>
        <v>1</v>
      </c>
    </row>
    <row r="38" spans="1:59" ht="15.75" customHeight="1" x14ac:dyDescent="0.2">
      <c r="A38" s="19">
        <f t="shared" si="4"/>
        <v>1</v>
      </c>
      <c r="B38" s="20">
        <f t="shared" si="5"/>
        <v>0</v>
      </c>
      <c r="C38" s="20">
        <f t="shared" ca="1" si="6"/>
        <v>0</v>
      </c>
      <c r="D38" s="50">
        <f t="shared" ca="1" si="41"/>
        <v>1</v>
      </c>
      <c r="E38" s="11" t="s">
        <v>305</v>
      </c>
      <c r="F38" s="11" t="s">
        <v>137</v>
      </c>
      <c r="G38" s="11">
        <v>1000000037</v>
      </c>
      <c r="I38" s="11" t="s">
        <v>184</v>
      </c>
      <c r="J38" s="11" t="s">
        <v>139</v>
      </c>
      <c r="K38" s="11" t="s">
        <v>185</v>
      </c>
      <c r="L38" s="70">
        <v>28165</v>
      </c>
      <c r="M38" s="11" t="s">
        <v>306</v>
      </c>
      <c r="N38" s="11">
        <v>3449274980</v>
      </c>
      <c r="O38" s="11" t="s">
        <v>307</v>
      </c>
      <c r="P38" s="11" t="s">
        <v>165</v>
      </c>
      <c r="Q38" s="11" t="s">
        <v>156</v>
      </c>
      <c r="R38" s="68">
        <v>46033</v>
      </c>
      <c r="S38" s="11" t="s">
        <v>157</v>
      </c>
      <c r="T38" s="11" t="s">
        <v>147</v>
      </c>
      <c r="U38" s="11">
        <v>90000</v>
      </c>
      <c r="V38" s="68">
        <v>46297</v>
      </c>
      <c r="W38" s="12">
        <f t="shared" si="8"/>
        <v>1</v>
      </c>
      <c r="X38" s="12">
        <f t="shared" si="9"/>
        <v>1</v>
      </c>
      <c r="Y38" s="12">
        <f t="shared" si="10"/>
        <v>1</v>
      </c>
      <c r="Z38" s="12">
        <f t="shared" si="11"/>
        <v>1</v>
      </c>
      <c r="AA38" s="12">
        <f t="shared" si="12"/>
        <v>1</v>
      </c>
      <c r="AB38" s="12">
        <f t="shared" si="13"/>
        <v>0</v>
      </c>
      <c r="AC38" s="12">
        <f t="shared" si="14"/>
        <v>1</v>
      </c>
      <c r="AD38" s="12">
        <f t="shared" si="42"/>
        <v>1</v>
      </c>
      <c r="AE38" s="12">
        <f t="shared" si="43"/>
        <v>1</v>
      </c>
      <c r="AF38" s="12">
        <f t="shared" si="44"/>
        <v>1</v>
      </c>
      <c r="AG38" s="12">
        <f t="shared" si="45"/>
        <v>1</v>
      </c>
      <c r="AH38" s="12">
        <f t="shared" si="46"/>
        <v>1</v>
      </c>
      <c r="AI38" s="12">
        <f t="shared" si="47"/>
        <v>1</v>
      </c>
      <c r="AJ38" s="12">
        <f t="shared" si="48"/>
        <v>1</v>
      </c>
      <c r="AK38" s="12">
        <f t="shared" si="49"/>
        <v>1</v>
      </c>
      <c r="AL38" s="12">
        <f t="shared" si="50"/>
        <v>1</v>
      </c>
      <c r="AM38" s="12">
        <f t="shared" si="24"/>
        <v>1</v>
      </c>
      <c r="AN38" s="12">
        <f t="shared" si="25"/>
        <v>1</v>
      </c>
      <c r="AO38" s="12">
        <f t="shared" si="26"/>
        <v>1</v>
      </c>
      <c r="AP38" s="12">
        <f t="shared" si="27"/>
        <v>1</v>
      </c>
      <c r="AQ38" s="12">
        <f t="shared" si="28"/>
        <v>1</v>
      </c>
      <c r="AR38" s="12">
        <f t="shared" si="29"/>
        <v>1</v>
      </c>
      <c r="AS38" s="12" cm="1">
        <f t="array" ref="AS38">IF(AND(H38&lt;&gt;"",SUMPRODUCT(--ISNUMBER(FIND({0;1;2;3;4;5;6;7;8;9},H38)))=0),1,0)</f>
        <v>0</v>
      </c>
      <c r="AT38" s="12" cm="1">
        <f t="array" ref="AT38">IF(AND(I38&lt;&gt;"",SUMPRODUCT(--ISNUMBER(FIND({0;1;2;3;4;5;6;7;8;9},I38)))=0),1,0)</f>
        <v>1</v>
      </c>
      <c r="AU38" s="12" cm="1">
        <f t="array" ref="AU38">IF(AND(J38&lt;&gt;"",SUMPRODUCT(--ISNUMBER(FIND({0;1;2;3;4;5;6;7;8;9},J38)))=0),1,0)</f>
        <v>1</v>
      </c>
      <c r="AV38" s="12">
        <f t="shared" si="51"/>
        <v>1</v>
      </c>
      <c r="AW38" s="12">
        <f t="shared" ca="1" si="30"/>
        <v>1</v>
      </c>
      <c r="AX38" s="12">
        <f t="shared" si="31"/>
        <v>1</v>
      </c>
      <c r="AY38" s="12">
        <f t="shared" si="32"/>
        <v>1</v>
      </c>
      <c r="AZ38" s="12">
        <f t="shared" si="33"/>
        <v>1</v>
      </c>
      <c r="BA38" s="12">
        <f t="shared" si="34"/>
        <v>1</v>
      </c>
      <c r="BB38" s="12">
        <f t="shared" si="35"/>
        <v>1</v>
      </c>
      <c r="BC38" s="12">
        <f t="shared" ca="1" si="36"/>
        <v>1</v>
      </c>
      <c r="BD38" s="12">
        <f t="shared" si="37"/>
        <v>1</v>
      </c>
      <c r="BE38" s="12">
        <f t="shared" si="38"/>
        <v>1</v>
      </c>
      <c r="BF38" s="12">
        <f t="shared" si="39"/>
        <v>1</v>
      </c>
      <c r="BG38" s="12">
        <f t="shared" ca="1" si="40"/>
        <v>0</v>
      </c>
    </row>
    <row r="39" spans="1:59" ht="15.75" customHeight="1" x14ac:dyDescent="0.2">
      <c r="A39" s="19">
        <f t="shared" si="4"/>
        <v>1</v>
      </c>
      <c r="B39" s="20">
        <f t="shared" si="5"/>
        <v>1</v>
      </c>
      <c r="C39" s="20">
        <f t="shared" ca="1" si="6"/>
        <v>1</v>
      </c>
      <c r="D39" s="50">
        <f t="shared" ca="1" si="41"/>
        <v>0</v>
      </c>
      <c r="E39" s="11" t="s">
        <v>308</v>
      </c>
      <c r="F39" s="11" t="s">
        <v>137</v>
      </c>
      <c r="G39" s="11">
        <v>1000000038</v>
      </c>
      <c r="H39" s="11" t="s">
        <v>150</v>
      </c>
      <c r="I39" s="11" t="s">
        <v>200</v>
      </c>
      <c r="J39" s="11" t="s">
        <v>260</v>
      </c>
      <c r="K39" s="11" t="s">
        <v>141</v>
      </c>
      <c r="L39" s="70">
        <v>34717</v>
      </c>
      <c r="M39" s="11" t="s">
        <v>309</v>
      </c>
      <c r="N39" s="11">
        <v>3363938275</v>
      </c>
      <c r="O39" s="11" t="s">
        <v>310</v>
      </c>
      <c r="P39" s="11" t="s">
        <v>144</v>
      </c>
      <c r="Q39" s="11" t="s">
        <v>145</v>
      </c>
      <c r="R39" s="68">
        <v>45175</v>
      </c>
      <c r="S39" s="11" t="s">
        <v>174</v>
      </c>
      <c r="T39" s="11" t="s">
        <v>147</v>
      </c>
      <c r="U39" s="11">
        <v>90000</v>
      </c>
      <c r="V39" s="68">
        <v>45439</v>
      </c>
      <c r="W39" s="12">
        <f t="shared" si="8"/>
        <v>1</v>
      </c>
      <c r="X39" s="12">
        <f t="shared" si="9"/>
        <v>1</v>
      </c>
      <c r="Y39" s="12">
        <f t="shared" si="10"/>
        <v>1</v>
      </c>
      <c r="Z39" s="12">
        <f t="shared" si="11"/>
        <v>1</v>
      </c>
      <c r="AA39" s="12">
        <f t="shared" si="12"/>
        <v>1</v>
      </c>
      <c r="AB39" s="12">
        <f t="shared" si="13"/>
        <v>1</v>
      </c>
      <c r="AC39" s="12">
        <f t="shared" si="14"/>
        <v>1</v>
      </c>
      <c r="AD39" s="12">
        <f t="shared" si="42"/>
        <v>1</v>
      </c>
      <c r="AE39" s="12">
        <f t="shared" si="43"/>
        <v>1</v>
      </c>
      <c r="AF39" s="12">
        <f t="shared" si="44"/>
        <v>1</v>
      </c>
      <c r="AG39" s="12">
        <f t="shared" si="45"/>
        <v>1</v>
      </c>
      <c r="AH39" s="12">
        <f t="shared" si="46"/>
        <v>1</v>
      </c>
      <c r="AI39" s="12">
        <f t="shared" si="47"/>
        <v>1</v>
      </c>
      <c r="AJ39" s="12">
        <f t="shared" si="48"/>
        <v>1</v>
      </c>
      <c r="AK39" s="12">
        <f t="shared" si="49"/>
        <v>1</v>
      </c>
      <c r="AL39" s="12">
        <f t="shared" si="50"/>
        <v>1</v>
      </c>
      <c r="AM39" s="12">
        <f t="shared" si="24"/>
        <v>1</v>
      </c>
      <c r="AN39" s="12">
        <f t="shared" si="25"/>
        <v>1</v>
      </c>
      <c r="AO39" s="12">
        <f t="shared" si="26"/>
        <v>1</v>
      </c>
      <c r="AP39" s="12">
        <f t="shared" si="27"/>
        <v>1</v>
      </c>
      <c r="AQ39" s="12">
        <f t="shared" si="28"/>
        <v>1</v>
      </c>
      <c r="AR39" s="12">
        <f t="shared" si="29"/>
        <v>1</v>
      </c>
      <c r="AS39" s="12" cm="1">
        <f t="array" ref="AS39">IF(AND(H39&lt;&gt;"",SUMPRODUCT(--ISNUMBER(FIND({0;1;2;3;4;5;6;7;8;9},H39)))=0),1,0)</f>
        <v>1</v>
      </c>
      <c r="AT39" s="12" cm="1">
        <f t="array" ref="AT39">IF(AND(I39&lt;&gt;"",SUMPRODUCT(--ISNUMBER(FIND({0;1;2;3;4;5;6;7;8;9},I39)))=0),1,0)</f>
        <v>1</v>
      </c>
      <c r="AU39" s="12" cm="1">
        <f t="array" ref="AU39">IF(AND(J39&lt;&gt;"",SUMPRODUCT(--ISNUMBER(FIND({0;1;2;3;4;5;6;7;8;9},J39)))=0),1,0)</f>
        <v>1</v>
      </c>
      <c r="AV39" s="12">
        <f t="shared" si="51"/>
        <v>1</v>
      </c>
      <c r="AW39" s="12">
        <f t="shared" ca="1" si="30"/>
        <v>1</v>
      </c>
      <c r="AX39" s="12">
        <f t="shared" si="31"/>
        <v>1</v>
      </c>
      <c r="AY39" s="12">
        <f t="shared" si="32"/>
        <v>1</v>
      </c>
      <c r="AZ39" s="12">
        <f t="shared" si="33"/>
        <v>1</v>
      </c>
      <c r="BA39" s="12">
        <f t="shared" si="34"/>
        <v>1</v>
      </c>
      <c r="BB39" s="12">
        <f t="shared" si="35"/>
        <v>1</v>
      </c>
      <c r="BC39" s="12">
        <f t="shared" ca="1" si="36"/>
        <v>1</v>
      </c>
      <c r="BD39" s="12">
        <f t="shared" si="37"/>
        <v>1</v>
      </c>
      <c r="BE39" s="12">
        <f t="shared" si="38"/>
        <v>1</v>
      </c>
      <c r="BF39" s="12">
        <f t="shared" si="39"/>
        <v>1</v>
      </c>
      <c r="BG39" s="12">
        <f t="shared" ca="1" si="40"/>
        <v>1</v>
      </c>
    </row>
    <row r="40" spans="1:59" ht="15.75" customHeight="1" x14ac:dyDescent="0.2">
      <c r="A40" s="19">
        <f t="shared" si="4"/>
        <v>1</v>
      </c>
      <c r="B40" s="20">
        <f t="shared" si="5"/>
        <v>1</v>
      </c>
      <c r="C40" s="20">
        <f t="shared" ca="1" si="6"/>
        <v>1</v>
      </c>
      <c r="D40" s="50">
        <f t="shared" ca="1" si="41"/>
        <v>0</v>
      </c>
      <c r="E40" s="11" t="s">
        <v>311</v>
      </c>
      <c r="F40" s="11" t="s">
        <v>137</v>
      </c>
      <c r="G40" s="11">
        <v>1000000039</v>
      </c>
      <c r="H40" s="11" t="s">
        <v>161</v>
      </c>
      <c r="I40" s="11" t="s">
        <v>183</v>
      </c>
      <c r="J40" s="11" t="s">
        <v>194</v>
      </c>
      <c r="K40" s="11" t="s">
        <v>141</v>
      </c>
      <c r="L40" s="70">
        <v>30858</v>
      </c>
      <c r="M40" s="11" t="s">
        <v>312</v>
      </c>
      <c r="N40" s="11">
        <v>3831258313</v>
      </c>
      <c r="O40" s="11" t="s">
        <v>313</v>
      </c>
      <c r="P40" s="11" t="s">
        <v>217</v>
      </c>
      <c r="Q40" s="11" t="s">
        <v>218</v>
      </c>
      <c r="R40" s="68">
        <v>45806</v>
      </c>
      <c r="S40" s="11" t="s">
        <v>174</v>
      </c>
      <c r="T40" s="11" t="s">
        <v>147</v>
      </c>
      <c r="U40" s="11">
        <v>90000</v>
      </c>
      <c r="V40" s="68">
        <v>46140</v>
      </c>
      <c r="W40" s="12">
        <f t="shared" si="8"/>
        <v>1</v>
      </c>
      <c r="X40" s="12">
        <f t="shared" si="9"/>
        <v>1</v>
      </c>
      <c r="Y40" s="12">
        <f t="shared" si="10"/>
        <v>1</v>
      </c>
      <c r="Z40" s="12">
        <f t="shared" si="11"/>
        <v>1</v>
      </c>
      <c r="AA40" s="12">
        <f t="shared" si="12"/>
        <v>1</v>
      </c>
      <c r="AB40" s="12">
        <f t="shared" si="13"/>
        <v>1</v>
      </c>
      <c r="AC40" s="12">
        <f t="shared" si="14"/>
        <v>1</v>
      </c>
      <c r="AD40" s="12">
        <f t="shared" si="42"/>
        <v>1</v>
      </c>
      <c r="AE40" s="12">
        <f t="shared" si="43"/>
        <v>1</v>
      </c>
      <c r="AF40" s="12">
        <f t="shared" si="44"/>
        <v>1</v>
      </c>
      <c r="AG40" s="12">
        <f t="shared" si="45"/>
        <v>1</v>
      </c>
      <c r="AH40" s="12">
        <f t="shared" si="46"/>
        <v>1</v>
      </c>
      <c r="AI40" s="12">
        <f t="shared" si="47"/>
        <v>1</v>
      </c>
      <c r="AJ40" s="12">
        <f t="shared" si="48"/>
        <v>1</v>
      </c>
      <c r="AK40" s="12">
        <f t="shared" si="49"/>
        <v>1</v>
      </c>
      <c r="AL40" s="12">
        <f t="shared" si="50"/>
        <v>1</v>
      </c>
      <c r="AM40" s="12">
        <f t="shared" si="24"/>
        <v>1</v>
      </c>
      <c r="AN40" s="12">
        <f t="shared" si="25"/>
        <v>1</v>
      </c>
      <c r="AO40" s="12">
        <f t="shared" si="26"/>
        <v>1</v>
      </c>
      <c r="AP40" s="12">
        <f t="shared" si="27"/>
        <v>1</v>
      </c>
      <c r="AQ40" s="12">
        <f t="shared" si="28"/>
        <v>1</v>
      </c>
      <c r="AR40" s="12">
        <f t="shared" si="29"/>
        <v>1</v>
      </c>
      <c r="AS40" s="12" cm="1">
        <f t="array" ref="AS40">IF(AND(H40&lt;&gt;"",SUMPRODUCT(--ISNUMBER(FIND({0;1;2;3;4;5;6;7;8;9},H40)))=0),1,0)</f>
        <v>1</v>
      </c>
      <c r="AT40" s="12" cm="1">
        <f t="array" ref="AT40">IF(AND(I40&lt;&gt;"",SUMPRODUCT(--ISNUMBER(FIND({0;1;2;3;4;5;6;7;8;9},I40)))=0),1,0)</f>
        <v>1</v>
      </c>
      <c r="AU40" s="12" cm="1">
        <f t="array" ref="AU40">IF(AND(J40&lt;&gt;"",SUMPRODUCT(--ISNUMBER(FIND({0;1;2;3;4;5;6;7;8;9},J40)))=0),1,0)</f>
        <v>1</v>
      </c>
      <c r="AV40" s="12">
        <f t="shared" si="51"/>
        <v>1</v>
      </c>
      <c r="AW40" s="12">
        <f t="shared" ca="1" si="30"/>
        <v>1</v>
      </c>
      <c r="AX40" s="12">
        <f t="shared" si="31"/>
        <v>1</v>
      </c>
      <c r="AY40" s="12">
        <f t="shared" si="32"/>
        <v>1</v>
      </c>
      <c r="AZ40" s="12">
        <f t="shared" si="33"/>
        <v>1</v>
      </c>
      <c r="BA40" s="12">
        <f t="shared" si="34"/>
        <v>1</v>
      </c>
      <c r="BB40" s="12">
        <f t="shared" si="35"/>
        <v>1</v>
      </c>
      <c r="BC40" s="12">
        <f t="shared" ca="1" si="36"/>
        <v>1</v>
      </c>
      <c r="BD40" s="12">
        <f t="shared" si="37"/>
        <v>1</v>
      </c>
      <c r="BE40" s="12">
        <f t="shared" si="38"/>
        <v>1</v>
      </c>
      <c r="BF40" s="12">
        <f t="shared" si="39"/>
        <v>1</v>
      </c>
      <c r="BG40" s="12">
        <f t="shared" ca="1" si="40"/>
        <v>1</v>
      </c>
    </row>
    <row r="41" spans="1:59" ht="15.75" customHeight="1" x14ac:dyDescent="0.2">
      <c r="A41" s="19">
        <f t="shared" si="4"/>
        <v>1</v>
      </c>
      <c r="B41" s="20">
        <f t="shared" si="5"/>
        <v>1</v>
      </c>
      <c r="C41" s="20">
        <f t="shared" ca="1" si="6"/>
        <v>1</v>
      </c>
      <c r="D41" s="50">
        <f t="shared" ca="1" si="41"/>
        <v>0</v>
      </c>
      <c r="E41" s="11" t="s">
        <v>314</v>
      </c>
      <c r="F41" s="11" t="s">
        <v>149</v>
      </c>
      <c r="G41" s="11">
        <v>1000000040</v>
      </c>
      <c r="H41" s="11" t="s">
        <v>199</v>
      </c>
      <c r="I41" s="11" t="s">
        <v>152</v>
      </c>
      <c r="J41" s="11" t="s">
        <v>184</v>
      </c>
      <c r="K41" s="11" t="s">
        <v>185</v>
      </c>
      <c r="L41" s="70">
        <v>29224</v>
      </c>
      <c r="M41" s="11" t="s">
        <v>315</v>
      </c>
      <c r="N41" s="11">
        <v>3251980719</v>
      </c>
      <c r="O41" s="11" t="s">
        <v>316</v>
      </c>
      <c r="P41" s="11" t="s">
        <v>172</v>
      </c>
      <c r="Q41" s="11" t="s">
        <v>173</v>
      </c>
      <c r="R41" s="68">
        <v>45730</v>
      </c>
      <c r="S41" s="11" t="s">
        <v>146</v>
      </c>
      <c r="T41" s="11" t="s">
        <v>147</v>
      </c>
      <c r="U41" s="11">
        <v>85000</v>
      </c>
      <c r="V41" s="68">
        <v>45759</v>
      </c>
      <c r="W41" s="12">
        <f t="shared" si="8"/>
        <v>1</v>
      </c>
      <c r="X41" s="12">
        <f t="shared" si="9"/>
        <v>1</v>
      </c>
      <c r="Y41" s="12">
        <f t="shared" si="10"/>
        <v>1</v>
      </c>
      <c r="Z41" s="12">
        <f t="shared" si="11"/>
        <v>1</v>
      </c>
      <c r="AA41" s="12">
        <f t="shared" si="12"/>
        <v>1</v>
      </c>
      <c r="AB41" s="12">
        <f t="shared" si="13"/>
        <v>1</v>
      </c>
      <c r="AC41" s="12">
        <f t="shared" si="14"/>
        <v>1</v>
      </c>
      <c r="AD41" s="12">
        <f t="shared" si="42"/>
        <v>1</v>
      </c>
      <c r="AE41" s="12">
        <f t="shared" si="43"/>
        <v>1</v>
      </c>
      <c r="AF41" s="12">
        <f t="shared" si="44"/>
        <v>1</v>
      </c>
      <c r="AG41" s="12">
        <f t="shared" si="45"/>
        <v>1</v>
      </c>
      <c r="AH41" s="12">
        <f t="shared" si="46"/>
        <v>1</v>
      </c>
      <c r="AI41" s="12">
        <f t="shared" si="47"/>
        <v>1</v>
      </c>
      <c r="AJ41" s="12">
        <f t="shared" si="48"/>
        <v>1</v>
      </c>
      <c r="AK41" s="12">
        <f t="shared" si="49"/>
        <v>1</v>
      </c>
      <c r="AL41" s="12">
        <f t="shared" si="50"/>
        <v>1</v>
      </c>
      <c r="AM41" s="12">
        <f t="shared" si="24"/>
        <v>1</v>
      </c>
      <c r="AN41" s="12">
        <f t="shared" si="25"/>
        <v>1</v>
      </c>
      <c r="AO41" s="12">
        <f t="shared" si="26"/>
        <v>1</v>
      </c>
      <c r="AP41" s="12">
        <f t="shared" si="27"/>
        <v>1</v>
      </c>
      <c r="AQ41" s="12">
        <f t="shared" si="28"/>
        <v>1</v>
      </c>
      <c r="AR41" s="12">
        <f t="shared" si="29"/>
        <v>1</v>
      </c>
      <c r="AS41" s="12" cm="1">
        <f t="array" ref="AS41">IF(AND(H41&lt;&gt;"",SUMPRODUCT(--ISNUMBER(FIND({0;1;2;3;4;5;6;7;8;9},H41)))=0),1,0)</f>
        <v>1</v>
      </c>
      <c r="AT41" s="12" cm="1">
        <f t="array" ref="AT41">IF(AND(I41&lt;&gt;"",SUMPRODUCT(--ISNUMBER(FIND({0;1;2;3;4;5;6;7;8;9},I41)))=0),1,0)</f>
        <v>1</v>
      </c>
      <c r="AU41" s="12" cm="1">
        <f t="array" ref="AU41">IF(AND(J41&lt;&gt;"",SUMPRODUCT(--ISNUMBER(FIND({0;1;2;3;4;5;6;7;8;9},J41)))=0),1,0)</f>
        <v>1</v>
      </c>
      <c r="AV41" s="12">
        <f t="shared" si="51"/>
        <v>1</v>
      </c>
      <c r="AW41" s="12">
        <f t="shared" ca="1" si="30"/>
        <v>1</v>
      </c>
      <c r="AX41" s="12">
        <f t="shared" si="31"/>
        <v>1</v>
      </c>
      <c r="AY41" s="12">
        <f t="shared" si="32"/>
        <v>1</v>
      </c>
      <c r="AZ41" s="12">
        <f t="shared" si="33"/>
        <v>1</v>
      </c>
      <c r="BA41" s="12">
        <f t="shared" si="34"/>
        <v>1</v>
      </c>
      <c r="BB41" s="12">
        <f t="shared" si="35"/>
        <v>1</v>
      </c>
      <c r="BC41" s="12">
        <f t="shared" ca="1" si="36"/>
        <v>1</v>
      </c>
      <c r="BD41" s="12">
        <f t="shared" si="37"/>
        <v>1</v>
      </c>
      <c r="BE41" s="12">
        <f t="shared" si="38"/>
        <v>1</v>
      </c>
      <c r="BF41" s="12">
        <f t="shared" si="39"/>
        <v>1</v>
      </c>
      <c r="BG41" s="12">
        <f t="shared" ca="1" si="40"/>
        <v>1</v>
      </c>
    </row>
    <row r="42" spans="1:59" ht="15.75" customHeight="1" x14ac:dyDescent="0.2">
      <c r="A42" s="19">
        <f t="shared" si="4"/>
        <v>1</v>
      </c>
      <c r="B42" s="20">
        <f t="shared" si="5"/>
        <v>1</v>
      </c>
      <c r="C42" s="20">
        <f t="shared" ca="1" si="6"/>
        <v>1</v>
      </c>
      <c r="D42" s="50">
        <f t="shared" ca="1" si="41"/>
        <v>0</v>
      </c>
      <c r="E42" s="11" t="s">
        <v>317</v>
      </c>
      <c r="F42" s="11" t="s">
        <v>137</v>
      </c>
      <c r="G42" s="11">
        <v>1000000041</v>
      </c>
      <c r="H42" s="11" t="s">
        <v>176</v>
      </c>
      <c r="I42" s="11" t="s">
        <v>200</v>
      </c>
      <c r="J42" s="11" t="s">
        <v>139</v>
      </c>
      <c r="K42" s="11" t="s">
        <v>141</v>
      </c>
      <c r="L42" s="70">
        <v>36008</v>
      </c>
      <c r="M42" s="11" t="s">
        <v>318</v>
      </c>
      <c r="N42" s="11">
        <v>3697916326</v>
      </c>
      <c r="O42" s="11" t="s">
        <v>319</v>
      </c>
      <c r="P42" s="11" t="s">
        <v>217</v>
      </c>
      <c r="Q42" s="11" t="s">
        <v>218</v>
      </c>
      <c r="R42" s="68">
        <v>45155</v>
      </c>
      <c r="S42" s="11" t="s">
        <v>157</v>
      </c>
      <c r="T42" s="11" t="s">
        <v>158</v>
      </c>
      <c r="U42" s="11">
        <v>75000</v>
      </c>
      <c r="V42" s="68">
        <v>45230</v>
      </c>
      <c r="W42" s="12">
        <f t="shared" si="8"/>
        <v>1</v>
      </c>
      <c r="X42" s="12">
        <f t="shared" si="9"/>
        <v>1</v>
      </c>
      <c r="Y42" s="12">
        <f t="shared" si="10"/>
        <v>1</v>
      </c>
      <c r="Z42" s="12">
        <f t="shared" si="11"/>
        <v>1</v>
      </c>
      <c r="AA42" s="12">
        <f t="shared" si="12"/>
        <v>1</v>
      </c>
      <c r="AB42" s="12">
        <f t="shared" si="13"/>
        <v>1</v>
      </c>
      <c r="AC42" s="12">
        <f t="shared" si="14"/>
        <v>1</v>
      </c>
      <c r="AD42" s="12">
        <f t="shared" si="42"/>
        <v>1</v>
      </c>
      <c r="AE42" s="12">
        <f t="shared" si="43"/>
        <v>1</v>
      </c>
      <c r="AF42" s="12">
        <f t="shared" si="44"/>
        <v>1</v>
      </c>
      <c r="AG42" s="12">
        <f t="shared" si="45"/>
        <v>1</v>
      </c>
      <c r="AH42" s="12">
        <f t="shared" si="46"/>
        <v>1</v>
      </c>
      <c r="AI42" s="12">
        <f t="shared" si="47"/>
        <v>1</v>
      </c>
      <c r="AJ42" s="12">
        <f t="shared" si="48"/>
        <v>1</v>
      </c>
      <c r="AK42" s="12">
        <f t="shared" si="49"/>
        <v>1</v>
      </c>
      <c r="AL42" s="12">
        <f t="shared" si="50"/>
        <v>1</v>
      </c>
      <c r="AM42" s="12">
        <f t="shared" si="24"/>
        <v>1</v>
      </c>
      <c r="AN42" s="12">
        <f t="shared" si="25"/>
        <v>1</v>
      </c>
      <c r="AO42" s="12">
        <f t="shared" si="26"/>
        <v>1</v>
      </c>
      <c r="AP42" s="12">
        <f t="shared" si="27"/>
        <v>1</v>
      </c>
      <c r="AQ42" s="12">
        <f t="shared" si="28"/>
        <v>1</v>
      </c>
      <c r="AR42" s="12">
        <f t="shared" si="29"/>
        <v>1</v>
      </c>
      <c r="AS42" s="12" cm="1">
        <f t="array" ref="AS42">IF(AND(H42&lt;&gt;"",SUMPRODUCT(--ISNUMBER(FIND({0;1;2;3;4;5;6;7;8;9},H42)))=0),1,0)</f>
        <v>1</v>
      </c>
      <c r="AT42" s="12" cm="1">
        <f t="array" ref="AT42">IF(AND(I42&lt;&gt;"",SUMPRODUCT(--ISNUMBER(FIND({0;1;2;3;4;5;6;7;8;9},I42)))=0),1,0)</f>
        <v>1</v>
      </c>
      <c r="AU42" s="12" cm="1">
        <f t="array" ref="AU42">IF(AND(J42&lt;&gt;"",SUMPRODUCT(--ISNUMBER(FIND({0;1;2;3;4;5;6;7;8;9},J42)))=0),1,0)</f>
        <v>1</v>
      </c>
      <c r="AV42" s="12">
        <f t="shared" si="51"/>
        <v>1</v>
      </c>
      <c r="AW42" s="12">
        <f t="shared" ca="1" si="30"/>
        <v>1</v>
      </c>
      <c r="AX42" s="12">
        <f t="shared" si="31"/>
        <v>1</v>
      </c>
      <c r="AY42" s="12">
        <f t="shared" si="32"/>
        <v>1</v>
      </c>
      <c r="AZ42" s="12">
        <f t="shared" si="33"/>
        <v>1</v>
      </c>
      <c r="BA42" s="12">
        <f t="shared" si="34"/>
        <v>1</v>
      </c>
      <c r="BB42" s="12">
        <f t="shared" si="35"/>
        <v>1</v>
      </c>
      <c r="BC42" s="12">
        <f t="shared" ca="1" si="36"/>
        <v>1</v>
      </c>
      <c r="BD42" s="12">
        <f t="shared" si="37"/>
        <v>1</v>
      </c>
      <c r="BE42" s="12">
        <f t="shared" si="38"/>
        <v>1</v>
      </c>
      <c r="BF42" s="12">
        <f t="shared" si="39"/>
        <v>1</v>
      </c>
      <c r="BG42" s="12">
        <f t="shared" ca="1" si="40"/>
        <v>1</v>
      </c>
    </row>
    <row r="43" spans="1:59" ht="15.75" customHeight="1" x14ac:dyDescent="0.2">
      <c r="A43" s="19">
        <f t="shared" si="4"/>
        <v>1</v>
      </c>
      <c r="B43" s="20">
        <f t="shared" si="5"/>
        <v>1</v>
      </c>
      <c r="C43" s="20">
        <f t="shared" ca="1" si="6"/>
        <v>0</v>
      </c>
      <c r="D43" s="50">
        <f t="shared" ca="1" si="41"/>
        <v>1</v>
      </c>
      <c r="E43" s="11" t="s">
        <v>320</v>
      </c>
      <c r="F43" s="11" t="s">
        <v>160</v>
      </c>
      <c r="G43" s="11">
        <v>1000000042</v>
      </c>
      <c r="H43" s="11" t="s">
        <v>321</v>
      </c>
      <c r="I43" s="11" t="s">
        <v>184</v>
      </c>
      <c r="J43" s="11" t="s">
        <v>200</v>
      </c>
      <c r="K43" s="11" t="s">
        <v>185</v>
      </c>
      <c r="L43" s="70">
        <v>30872</v>
      </c>
      <c r="M43" s="11" t="s">
        <v>322</v>
      </c>
      <c r="N43" s="11">
        <v>12345</v>
      </c>
      <c r="O43" s="11" t="s">
        <v>323</v>
      </c>
      <c r="P43" s="11" t="s">
        <v>155</v>
      </c>
      <c r="Q43" s="11" t="s">
        <v>156</v>
      </c>
      <c r="R43" s="68">
        <v>45789</v>
      </c>
      <c r="S43" s="11" t="s">
        <v>157</v>
      </c>
      <c r="T43" s="11" t="s">
        <v>147</v>
      </c>
      <c r="U43" s="11">
        <v>85000</v>
      </c>
      <c r="V43" s="68">
        <v>46041</v>
      </c>
      <c r="W43" s="12">
        <f t="shared" si="8"/>
        <v>1</v>
      </c>
      <c r="X43" s="12">
        <f t="shared" si="9"/>
        <v>1</v>
      </c>
      <c r="Y43" s="12">
        <f t="shared" si="10"/>
        <v>1</v>
      </c>
      <c r="Z43" s="12">
        <f t="shared" si="11"/>
        <v>1</v>
      </c>
      <c r="AA43" s="12">
        <f t="shared" si="12"/>
        <v>1</v>
      </c>
      <c r="AB43" s="12">
        <f t="shared" si="13"/>
        <v>1</v>
      </c>
      <c r="AC43" s="12">
        <f t="shared" si="14"/>
        <v>1</v>
      </c>
      <c r="AD43" s="12">
        <f t="shared" si="42"/>
        <v>1</v>
      </c>
      <c r="AE43" s="12">
        <f t="shared" si="43"/>
        <v>1</v>
      </c>
      <c r="AF43" s="12">
        <f t="shared" si="44"/>
        <v>1</v>
      </c>
      <c r="AG43" s="12">
        <f t="shared" si="45"/>
        <v>1</v>
      </c>
      <c r="AH43" s="12">
        <f t="shared" si="46"/>
        <v>1</v>
      </c>
      <c r="AI43" s="12">
        <f t="shared" si="47"/>
        <v>1</v>
      </c>
      <c r="AJ43" s="12">
        <f t="shared" si="48"/>
        <v>1</v>
      </c>
      <c r="AK43" s="12">
        <f t="shared" si="49"/>
        <v>1</v>
      </c>
      <c r="AL43" s="12">
        <f t="shared" si="50"/>
        <v>1</v>
      </c>
      <c r="AM43" s="12">
        <f t="shared" si="24"/>
        <v>1</v>
      </c>
      <c r="AN43" s="12">
        <f t="shared" si="25"/>
        <v>1</v>
      </c>
      <c r="AO43" s="12">
        <f t="shared" si="26"/>
        <v>1</v>
      </c>
      <c r="AP43" s="12">
        <f t="shared" si="27"/>
        <v>1</v>
      </c>
      <c r="AQ43" s="12">
        <f t="shared" si="28"/>
        <v>1</v>
      </c>
      <c r="AR43" s="12">
        <f t="shared" si="29"/>
        <v>1</v>
      </c>
      <c r="AS43" s="12" cm="1">
        <f t="array" ref="AS43">IF(AND(H43&lt;&gt;"",SUMPRODUCT(--ISNUMBER(FIND({0;1;2;3;4;5;6;7;8;9},H43)))=0),1,0)</f>
        <v>1</v>
      </c>
      <c r="AT43" s="12" cm="1">
        <f t="array" ref="AT43">IF(AND(I43&lt;&gt;"",SUMPRODUCT(--ISNUMBER(FIND({0;1;2;3;4;5;6;7;8;9},I43)))=0),1,0)</f>
        <v>1</v>
      </c>
      <c r="AU43" s="12" cm="1">
        <f t="array" ref="AU43">IF(AND(J43&lt;&gt;"",SUMPRODUCT(--ISNUMBER(FIND({0;1;2;3;4;5;6;7;8;9},J43)))=0),1,0)</f>
        <v>1</v>
      </c>
      <c r="AV43" s="12">
        <f t="shared" si="51"/>
        <v>1</v>
      </c>
      <c r="AW43" s="12">
        <f t="shared" ca="1" si="30"/>
        <v>1</v>
      </c>
      <c r="AX43" s="12">
        <f t="shared" si="31"/>
        <v>1</v>
      </c>
      <c r="AY43" s="12">
        <f t="shared" si="32"/>
        <v>0</v>
      </c>
      <c r="AZ43" s="12">
        <f t="shared" si="33"/>
        <v>1</v>
      </c>
      <c r="BA43" s="12">
        <f t="shared" si="34"/>
        <v>1</v>
      </c>
      <c r="BB43" s="12">
        <f t="shared" si="35"/>
        <v>1</v>
      </c>
      <c r="BC43" s="12">
        <f t="shared" ca="1" si="36"/>
        <v>1</v>
      </c>
      <c r="BD43" s="12">
        <f t="shared" si="37"/>
        <v>1</v>
      </c>
      <c r="BE43" s="12">
        <f t="shared" si="38"/>
        <v>1</v>
      </c>
      <c r="BF43" s="12">
        <f t="shared" si="39"/>
        <v>1</v>
      </c>
      <c r="BG43" s="12">
        <f t="shared" ca="1" si="40"/>
        <v>1</v>
      </c>
    </row>
    <row r="44" spans="1:59" ht="15.75" customHeight="1" x14ac:dyDescent="0.2">
      <c r="A44" s="19">
        <f t="shared" si="4"/>
        <v>1</v>
      </c>
      <c r="B44" s="20">
        <f t="shared" si="5"/>
        <v>1</v>
      </c>
      <c r="C44" s="20">
        <f t="shared" ca="1" si="6"/>
        <v>1</v>
      </c>
      <c r="D44" s="50">
        <f t="shared" ca="1" si="41"/>
        <v>0</v>
      </c>
      <c r="E44" s="11" t="s">
        <v>324</v>
      </c>
      <c r="F44" s="11" t="s">
        <v>137</v>
      </c>
      <c r="G44" s="11">
        <v>1000000043</v>
      </c>
      <c r="H44" s="11" t="s">
        <v>242</v>
      </c>
      <c r="I44" s="11" t="s">
        <v>169</v>
      </c>
      <c r="J44" s="11" t="s">
        <v>168</v>
      </c>
      <c r="K44" s="11" t="s">
        <v>185</v>
      </c>
      <c r="L44" s="70">
        <v>29452</v>
      </c>
      <c r="M44" s="11" t="s">
        <v>325</v>
      </c>
      <c r="N44" s="11">
        <v>3450132719</v>
      </c>
      <c r="O44" s="11" t="s">
        <v>326</v>
      </c>
      <c r="P44" s="11" t="s">
        <v>165</v>
      </c>
      <c r="Q44" s="11" t="s">
        <v>156</v>
      </c>
      <c r="R44" s="68">
        <v>44952</v>
      </c>
      <c r="S44" s="11" t="s">
        <v>146</v>
      </c>
      <c r="T44" s="11" t="s">
        <v>158</v>
      </c>
      <c r="U44" s="11">
        <v>90000</v>
      </c>
      <c r="V44" s="68">
        <v>45062</v>
      </c>
      <c r="W44" s="12">
        <f t="shared" si="8"/>
        <v>1</v>
      </c>
      <c r="X44" s="12">
        <f t="shared" si="9"/>
        <v>1</v>
      </c>
      <c r="Y44" s="12">
        <f t="shared" si="10"/>
        <v>1</v>
      </c>
      <c r="Z44" s="12">
        <f t="shared" si="11"/>
        <v>1</v>
      </c>
      <c r="AA44" s="12">
        <f t="shared" si="12"/>
        <v>1</v>
      </c>
      <c r="AB44" s="12">
        <f t="shared" si="13"/>
        <v>1</v>
      </c>
      <c r="AC44" s="12">
        <f t="shared" si="14"/>
        <v>1</v>
      </c>
      <c r="AD44" s="12">
        <f t="shared" si="42"/>
        <v>1</v>
      </c>
      <c r="AE44" s="12">
        <f t="shared" si="43"/>
        <v>1</v>
      </c>
      <c r="AF44" s="12">
        <f t="shared" si="44"/>
        <v>1</v>
      </c>
      <c r="AG44" s="12">
        <f t="shared" si="45"/>
        <v>1</v>
      </c>
      <c r="AH44" s="12">
        <f t="shared" si="46"/>
        <v>1</v>
      </c>
      <c r="AI44" s="12">
        <f t="shared" si="47"/>
        <v>1</v>
      </c>
      <c r="AJ44" s="12">
        <f t="shared" si="48"/>
        <v>1</v>
      </c>
      <c r="AK44" s="12">
        <f t="shared" si="49"/>
        <v>1</v>
      </c>
      <c r="AL44" s="12">
        <f t="shared" si="50"/>
        <v>1</v>
      </c>
      <c r="AM44" s="12">
        <f t="shared" si="24"/>
        <v>1</v>
      </c>
      <c r="AN44" s="12">
        <f t="shared" si="25"/>
        <v>1</v>
      </c>
      <c r="AO44" s="12">
        <f t="shared" si="26"/>
        <v>1</v>
      </c>
      <c r="AP44" s="12">
        <f t="shared" si="27"/>
        <v>1</v>
      </c>
      <c r="AQ44" s="12">
        <f t="shared" si="28"/>
        <v>1</v>
      </c>
      <c r="AR44" s="12">
        <f t="shared" si="29"/>
        <v>1</v>
      </c>
      <c r="AS44" s="12" cm="1">
        <f t="array" ref="AS44">IF(AND(H44&lt;&gt;"",SUMPRODUCT(--ISNUMBER(FIND({0;1;2;3;4;5;6;7;8;9},H44)))=0),1,0)</f>
        <v>1</v>
      </c>
      <c r="AT44" s="12" cm="1">
        <f t="array" ref="AT44">IF(AND(I44&lt;&gt;"",SUMPRODUCT(--ISNUMBER(FIND({0;1;2;3;4;5;6;7;8;9},I44)))=0),1,0)</f>
        <v>1</v>
      </c>
      <c r="AU44" s="12" cm="1">
        <f t="array" ref="AU44">IF(AND(J44&lt;&gt;"",SUMPRODUCT(--ISNUMBER(FIND({0;1;2;3;4;5;6;7;8;9},J44)))=0),1,0)</f>
        <v>1</v>
      </c>
      <c r="AV44" s="12">
        <f t="shared" si="51"/>
        <v>1</v>
      </c>
      <c r="AW44" s="12">
        <f t="shared" ca="1" si="30"/>
        <v>1</v>
      </c>
      <c r="AX44" s="12">
        <f t="shared" si="31"/>
        <v>1</v>
      </c>
      <c r="AY44" s="12">
        <f t="shared" si="32"/>
        <v>1</v>
      </c>
      <c r="AZ44" s="12">
        <f t="shared" si="33"/>
        <v>1</v>
      </c>
      <c r="BA44" s="12">
        <f t="shared" si="34"/>
        <v>1</v>
      </c>
      <c r="BB44" s="12">
        <f t="shared" si="35"/>
        <v>1</v>
      </c>
      <c r="BC44" s="12">
        <f t="shared" ca="1" si="36"/>
        <v>1</v>
      </c>
      <c r="BD44" s="12">
        <f t="shared" si="37"/>
        <v>1</v>
      </c>
      <c r="BE44" s="12">
        <f t="shared" si="38"/>
        <v>1</v>
      </c>
      <c r="BF44" s="12">
        <f t="shared" si="39"/>
        <v>1</v>
      </c>
      <c r="BG44" s="12">
        <f t="shared" ca="1" si="40"/>
        <v>1</v>
      </c>
    </row>
    <row r="45" spans="1:59" ht="15.75" customHeight="1" x14ac:dyDescent="0.2">
      <c r="A45" s="19">
        <f t="shared" si="4"/>
        <v>1</v>
      </c>
      <c r="B45" s="20">
        <f t="shared" si="5"/>
        <v>1</v>
      </c>
      <c r="C45" s="20">
        <f t="shared" ca="1" si="6"/>
        <v>1</v>
      </c>
      <c r="D45" s="50">
        <f t="shared" ca="1" si="41"/>
        <v>0</v>
      </c>
      <c r="E45" s="11" t="s">
        <v>327</v>
      </c>
      <c r="F45" s="11" t="s">
        <v>149</v>
      </c>
      <c r="G45" s="11">
        <v>1000000044</v>
      </c>
      <c r="H45" s="11" t="s">
        <v>189</v>
      </c>
      <c r="I45" s="11" t="s">
        <v>260</v>
      </c>
      <c r="J45" s="11" t="s">
        <v>183</v>
      </c>
      <c r="K45" s="11" t="s">
        <v>185</v>
      </c>
      <c r="L45" s="70">
        <v>31396</v>
      </c>
      <c r="M45" s="11" t="s">
        <v>328</v>
      </c>
      <c r="N45" s="11">
        <v>3893163899</v>
      </c>
      <c r="O45" s="11" t="s">
        <v>329</v>
      </c>
      <c r="P45" s="11" t="s">
        <v>217</v>
      </c>
      <c r="Q45" s="11" t="s">
        <v>218</v>
      </c>
      <c r="R45" s="68">
        <v>44730</v>
      </c>
      <c r="S45" s="11" t="s">
        <v>146</v>
      </c>
      <c r="T45" s="11" t="s">
        <v>147</v>
      </c>
      <c r="U45" s="11">
        <v>90000</v>
      </c>
      <c r="V45" s="68">
        <v>44882</v>
      </c>
      <c r="W45" s="12">
        <f t="shared" si="8"/>
        <v>1</v>
      </c>
      <c r="X45" s="12">
        <f t="shared" si="9"/>
        <v>1</v>
      </c>
      <c r="Y45" s="12">
        <f t="shared" si="10"/>
        <v>1</v>
      </c>
      <c r="Z45" s="12">
        <f t="shared" si="11"/>
        <v>1</v>
      </c>
      <c r="AA45" s="12">
        <f t="shared" si="12"/>
        <v>1</v>
      </c>
      <c r="AB45" s="12">
        <f t="shared" si="13"/>
        <v>1</v>
      </c>
      <c r="AC45" s="12">
        <f t="shared" si="14"/>
        <v>1</v>
      </c>
      <c r="AD45" s="12">
        <f t="shared" si="42"/>
        <v>1</v>
      </c>
      <c r="AE45" s="12">
        <f t="shared" si="43"/>
        <v>1</v>
      </c>
      <c r="AF45" s="12">
        <f t="shared" si="44"/>
        <v>1</v>
      </c>
      <c r="AG45" s="12">
        <f t="shared" si="45"/>
        <v>1</v>
      </c>
      <c r="AH45" s="12">
        <f t="shared" si="46"/>
        <v>1</v>
      </c>
      <c r="AI45" s="12">
        <f t="shared" si="47"/>
        <v>1</v>
      </c>
      <c r="AJ45" s="12">
        <f t="shared" si="48"/>
        <v>1</v>
      </c>
      <c r="AK45" s="12">
        <f t="shared" si="49"/>
        <v>1</v>
      </c>
      <c r="AL45" s="12">
        <f t="shared" si="50"/>
        <v>1</v>
      </c>
      <c r="AM45" s="12">
        <f t="shared" si="24"/>
        <v>1</v>
      </c>
      <c r="AN45" s="12">
        <f t="shared" si="25"/>
        <v>1</v>
      </c>
      <c r="AO45" s="12">
        <f t="shared" si="26"/>
        <v>1</v>
      </c>
      <c r="AP45" s="12">
        <f t="shared" si="27"/>
        <v>1</v>
      </c>
      <c r="AQ45" s="12">
        <f t="shared" si="28"/>
        <v>1</v>
      </c>
      <c r="AR45" s="12">
        <f t="shared" si="29"/>
        <v>1</v>
      </c>
      <c r="AS45" s="12" cm="1">
        <f t="array" ref="AS45">IF(AND(H45&lt;&gt;"",SUMPRODUCT(--ISNUMBER(FIND({0;1;2;3;4;5;6;7;8;9},H45)))=0),1,0)</f>
        <v>1</v>
      </c>
      <c r="AT45" s="12" cm="1">
        <f t="array" ref="AT45">IF(AND(I45&lt;&gt;"",SUMPRODUCT(--ISNUMBER(FIND({0;1;2;3;4;5;6;7;8;9},I45)))=0),1,0)</f>
        <v>1</v>
      </c>
      <c r="AU45" s="12" cm="1">
        <f t="array" ref="AU45">IF(AND(J45&lt;&gt;"",SUMPRODUCT(--ISNUMBER(FIND({0;1;2;3;4;5;6;7;8;9},J45)))=0),1,0)</f>
        <v>1</v>
      </c>
      <c r="AV45" s="12">
        <f t="shared" si="51"/>
        <v>1</v>
      </c>
      <c r="AW45" s="12">
        <f t="shared" ca="1" si="30"/>
        <v>1</v>
      </c>
      <c r="AX45" s="12">
        <f t="shared" si="31"/>
        <v>1</v>
      </c>
      <c r="AY45" s="12">
        <f t="shared" si="32"/>
        <v>1</v>
      </c>
      <c r="AZ45" s="12">
        <f t="shared" si="33"/>
        <v>1</v>
      </c>
      <c r="BA45" s="12">
        <f t="shared" si="34"/>
        <v>1</v>
      </c>
      <c r="BB45" s="12">
        <f t="shared" si="35"/>
        <v>1</v>
      </c>
      <c r="BC45" s="12">
        <f t="shared" ca="1" si="36"/>
        <v>1</v>
      </c>
      <c r="BD45" s="12">
        <f t="shared" si="37"/>
        <v>1</v>
      </c>
      <c r="BE45" s="12">
        <f t="shared" si="38"/>
        <v>1</v>
      </c>
      <c r="BF45" s="12">
        <f t="shared" si="39"/>
        <v>1</v>
      </c>
      <c r="BG45" s="12">
        <f t="shared" ca="1" si="40"/>
        <v>1</v>
      </c>
    </row>
    <row r="46" spans="1:59" ht="15.75" customHeight="1" x14ac:dyDescent="0.2">
      <c r="A46" s="19">
        <f t="shared" si="4"/>
        <v>1</v>
      </c>
      <c r="B46" s="20">
        <f t="shared" si="5"/>
        <v>1</v>
      </c>
      <c r="C46" s="20">
        <f t="shared" ca="1" si="6"/>
        <v>1</v>
      </c>
      <c r="D46" s="50">
        <f t="shared" ca="1" si="41"/>
        <v>0</v>
      </c>
      <c r="E46" s="11" t="s">
        <v>330</v>
      </c>
      <c r="F46" s="11" t="s">
        <v>149</v>
      </c>
      <c r="G46" s="11">
        <v>1000000045</v>
      </c>
      <c r="H46" s="11" t="s">
        <v>182</v>
      </c>
      <c r="I46" s="11" t="s">
        <v>151</v>
      </c>
      <c r="J46" s="11" t="s">
        <v>168</v>
      </c>
      <c r="K46" s="11" t="s">
        <v>185</v>
      </c>
      <c r="L46" s="70">
        <v>26781</v>
      </c>
      <c r="M46" s="11" t="s">
        <v>331</v>
      </c>
      <c r="N46" s="11">
        <v>3491649554</v>
      </c>
      <c r="O46" s="11" t="s">
        <v>332</v>
      </c>
      <c r="P46" s="11" t="s">
        <v>248</v>
      </c>
      <c r="Q46" s="11" t="s">
        <v>249</v>
      </c>
      <c r="R46" s="68">
        <v>45748</v>
      </c>
      <c r="S46" s="11" t="s">
        <v>146</v>
      </c>
      <c r="T46" s="11" t="s">
        <v>166</v>
      </c>
      <c r="U46" s="11">
        <v>90000</v>
      </c>
      <c r="V46" s="68">
        <v>46008</v>
      </c>
      <c r="W46" s="12">
        <f t="shared" si="8"/>
        <v>1</v>
      </c>
      <c r="X46" s="12">
        <f t="shared" si="9"/>
        <v>1</v>
      </c>
      <c r="Y46" s="12">
        <f t="shared" si="10"/>
        <v>1</v>
      </c>
      <c r="Z46" s="12">
        <f t="shared" si="11"/>
        <v>1</v>
      </c>
      <c r="AA46" s="12">
        <f t="shared" si="12"/>
        <v>1</v>
      </c>
      <c r="AB46" s="12">
        <f t="shared" si="13"/>
        <v>1</v>
      </c>
      <c r="AC46" s="12">
        <f t="shared" si="14"/>
        <v>1</v>
      </c>
      <c r="AD46" s="12">
        <f t="shared" si="42"/>
        <v>1</v>
      </c>
      <c r="AE46" s="12">
        <f t="shared" si="43"/>
        <v>1</v>
      </c>
      <c r="AF46" s="12">
        <f t="shared" si="44"/>
        <v>1</v>
      </c>
      <c r="AG46" s="12">
        <f t="shared" si="45"/>
        <v>1</v>
      </c>
      <c r="AH46" s="12">
        <f t="shared" si="46"/>
        <v>1</v>
      </c>
      <c r="AI46" s="12">
        <f t="shared" si="47"/>
        <v>1</v>
      </c>
      <c r="AJ46" s="12">
        <f t="shared" si="48"/>
        <v>1</v>
      </c>
      <c r="AK46" s="12">
        <f t="shared" si="49"/>
        <v>1</v>
      </c>
      <c r="AL46" s="12">
        <f t="shared" si="50"/>
        <v>1</v>
      </c>
      <c r="AM46" s="12">
        <f t="shared" si="24"/>
        <v>1</v>
      </c>
      <c r="AN46" s="12">
        <f t="shared" si="25"/>
        <v>1</v>
      </c>
      <c r="AO46" s="12">
        <f t="shared" si="26"/>
        <v>1</v>
      </c>
      <c r="AP46" s="12">
        <f t="shared" si="27"/>
        <v>1</v>
      </c>
      <c r="AQ46" s="12">
        <f t="shared" si="28"/>
        <v>1</v>
      </c>
      <c r="AR46" s="12">
        <f t="shared" si="29"/>
        <v>1</v>
      </c>
      <c r="AS46" s="12" cm="1">
        <f t="array" ref="AS46">IF(AND(H46&lt;&gt;"",SUMPRODUCT(--ISNUMBER(FIND({0;1;2;3;4;5;6;7;8;9},H46)))=0),1,0)</f>
        <v>1</v>
      </c>
      <c r="AT46" s="12" cm="1">
        <f t="array" ref="AT46">IF(AND(I46&lt;&gt;"",SUMPRODUCT(--ISNUMBER(FIND({0;1;2;3;4;5;6;7;8;9},I46)))=0),1,0)</f>
        <v>1</v>
      </c>
      <c r="AU46" s="12" cm="1">
        <f t="array" ref="AU46">IF(AND(J46&lt;&gt;"",SUMPRODUCT(--ISNUMBER(FIND({0;1;2;3;4;5;6;7;8;9},J46)))=0),1,0)</f>
        <v>1</v>
      </c>
      <c r="AV46" s="12">
        <f t="shared" si="51"/>
        <v>1</v>
      </c>
      <c r="AW46" s="12">
        <f t="shared" ca="1" si="30"/>
        <v>1</v>
      </c>
      <c r="AX46" s="12">
        <f t="shared" si="31"/>
        <v>1</v>
      </c>
      <c r="AY46" s="12">
        <f t="shared" si="32"/>
        <v>1</v>
      </c>
      <c r="AZ46" s="12">
        <f t="shared" si="33"/>
        <v>1</v>
      </c>
      <c r="BA46" s="12">
        <f t="shared" si="34"/>
        <v>1</v>
      </c>
      <c r="BB46" s="12">
        <f t="shared" si="35"/>
        <v>1</v>
      </c>
      <c r="BC46" s="12">
        <f t="shared" ca="1" si="36"/>
        <v>1</v>
      </c>
      <c r="BD46" s="12">
        <f t="shared" si="37"/>
        <v>1</v>
      </c>
      <c r="BE46" s="12">
        <f t="shared" si="38"/>
        <v>1</v>
      </c>
      <c r="BF46" s="12">
        <f t="shared" si="39"/>
        <v>1</v>
      </c>
      <c r="BG46" s="12">
        <f t="shared" ca="1" si="40"/>
        <v>1</v>
      </c>
    </row>
    <row r="47" spans="1:59" ht="15.75" customHeight="1" x14ac:dyDescent="0.2">
      <c r="A47" s="19">
        <f t="shared" si="4"/>
        <v>1</v>
      </c>
      <c r="B47" s="20">
        <f t="shared" si="5"/>
        <v>1</v>
      </c>
      <c r="C47" s="20">
        <f t="shared" ca="1" si="6"/>
        <v>1</v>
      </c>
      <c r="D47" s="50">
        <f t="shared" ca="1" si="41"/>
        <v>0</v>
      </c>
      <c r="E47" s="11" t="s">
        <v>333</v>
      </c>
      <c r="F47" s="11" t="s">
        <v>137</v>
      </c>
      <c r="G47" s="11">
        <v>1000000046</v>
      </c>
      <c r="H47" s="11" t="s">
        <v>193</v>
      </c>
      <c r="I47" s="11" t="s">
        <v>183</v>
      </c>
      <c r="J47" s="11" t="s">
        <v>195</v>
      </c>
      <c r="K47" s="11" t="s">
        <v>185</v>
      </c>
      <c r="L47" s="70">
        <v>24953</v>
      </c>
      <c r="M47" s="11" t="s">
        <v>334</v>
      </c>
      <c r="N47" s="11">
        <v>3470417293</v>
      </c>
      <c r="O47" s="11" t="s">
        <v>335</v>
      </c>
      <c r="P47" s="11" t="s">
        <v>172</v>
      </c>
      <c r="Q47" s="11" t="s">
        <v>173</v>
      </c>
      <c r="R47" s="68">
        <v>45389</v>
      </c>
      <c r="S47" s="11" t="s">
        <v>146</v>
      </c>
      <c r="T47" s="11" t="s">
        <v>147</v>
      </c>
      <c r="U47" s="11">
        <v>75000</v>
      </c>
      <c r="V47" s="68">
        <v>45406</v>
      </c>
      <c r="W47" s="12">
        <f t="shared" si="8"/>
        <v>1</v>
      </c>
      <c r="X47" s="12">
        <f t="shared" si="9"/>
        <v>1</v>
      </c>
      <c r="Y47" s="12">
        <f t="shared" si="10"/>
        <v>1</v>
      </c>
      <c r="Z47" s="12">
        <f t="shared" si="11"/>
        <v>1</v>
      </c>
      <c r="AA47" s="12">
        <f t="shared" si="12"/>
        <v>1</v>
      </c>
      <c r="AB47" s="12">
        <f t="shared" si="13"/>
        <v>1</v>
      </c>
      <c r="AC47" s="12">
        <f t="shared" si="14"/>
        <v>1</v>
      </c>
      <c r="AD47" s="12">
        <f t="shared" si="42"/>
        <v>1</v>
      </c>
      <c r="AE47" s="12">
        <f t="shared" si="43"/>
        <v>1</v>
      </c>
      <c r="AF47" s="12">
        <f t="shared" si="44"/>
        <v>1</v>
      </c>
      <c r="AG47" s="12">
        <f t="shared" si="45"/>
        <v>1</v>
      </c>
      <c r="AH47" s="12">
        <f t="shared" si="46"/>
        <v>1</v>
      </c>
      <c r="AI47" s="12">
        <f t="shared" si="47"/>
        <v>1</v>
      </c>
      <c r="AJ47" s="12">
        <f t="shared" si="48"/>
        <v>1</v>
      </c>
      <c r="AK47" s="12">
        <f t="shared" si="49"/>
        <v>1</v>
      </c>
      <c r="AL47" s="12">
        <f t="shared" si="50"/>
        <v>1</v>
      </c>
      <c r="AM47" s="12">
        <f t="shared" si="24"/>
        <v>1</v>
      </c>
      <c r="AN47" s="12">
        <f t="shared" si="25"/>
        <v>1</v>
      </c>
      <c r="AO47" s="12">
        <f t="shared" si="26"/>
        <v>1</v>
      </c>
      <c r="AP47" s="12">
        <f t="shared" si="27"/>
        <v>1</v>
      </c>
      <c r="AQ47" s="12">
        <f t="shared" si="28"/>
        <v>1</v>
      </c>
      <c r="AR47" s="12">
        <f t="shared" si="29"/>
        <v>1</v>
      </c>
      <c r="AS47" s="12" cm="1">
        <f t="array" ref="AS47">IF(AND(H47&lt;&gt;"",SUMPRODUCT(--ISNUMBER(FIND({0;1;2;3;4;5;6;7;8;9},H47)))=0),1,0)</f>
        <v>1</v>
      </c>
      <c r="AT47" s="12" cm="1">
        <f t="array" ref="AT47">IF(AND(I47&lt;&gt;"",SUMPRODUCT(--ISNUMBER(FIND({0;1;2;3;4;5;6;7;8;9},I47)))=0),1,0)</f>
        <v>1</v>
      </c>
      <c r="AU47" s="12" cm="1">
        <f t="array" ref="AU47">IF(AND(J47&lt;&gt;"",SUMPRODUCT(--ISNUMBER(FIND({0;1;2;3;4;5;6;7;8;9},J47)))=0),1,0)</f>
        <v>1</v>
      </c>
      <c r="AV47" s="12">
        <f t="shared" si="51"/>
        <v>1</v>
      </c>
      <c r="AW47" s="12">
        <f t="shared" ca="1" si="30"/>
        <v>1</v>
      </c>
      <c r="AX47" s="12">
        <f t="shared" si="31"/>
        <v>1</v>
      </c>
      <c r="AY47" s="12">
        <f t="shared" si="32"/>
        <v>1</v>
      </c>
      <c r="AZ47" s="12">
        <f t="shared" si="33"/>
        <v>1</v>
      </c>
      <c r="BA47" s="12">
        <f t="shared" si="34"/>
        <v>1</v>
      </c>
      <c r="BB47" s="12">
        <f t="shared" si="35"/>
        <v>1</v>
      </c>
      <c r="BC47" s="12">
        <f t="shared" ca="1" si="36"/>
        <v>1</v>
      </c>
      <c r="BD47" s="12">
        <f t="shared" si="37"/>
        <v>1</v>
      </c>
      <c r="BE47" s="12">
        <f t="shared" si="38"/>
        <v>1</v>
      </c>
      <c r="BF47" s="12">
        <f t="shared" si="39"/>
        <v>1</v>
      </c>
      <c r="BG47" s="12">
        <f t="shared" ca="1" si="40"/>
        <v>1</v>
      </c>
    </row>
    <row r="48" spans="1:59" ht="15.75" customHeight="1" x14ac:dyDescent="0.2">
      <c r="A48" s="19">
        <f t="shared" si="4"/>
        <v>1</v>
      </c>
      <c r="B48" s="20">
        <f t="shared" si="5"/>
        <v>1</v>
      </c>
      <c r="C48" s="20">
        <f t="shared" ca="1" si="6"/>
        <v>1</v>
      </c>
      <c r="D48" s="50">
        <f t="shared" ca="1" si="41"/>
        <v>0</v>
      </c>
      <c r="E48" s="11" t="s">
        <v>336</v>
      </c>
      <c r="F48" s="11" t="s">
        <v>160</v>
      </c>
      <c r="G48" s="11">
        <v>1000000047</v>
      </c>
      <c r="H48" s="11" t="s">
        <v>337</v>
      </c>
      <c r="I48" s="11" t="s">
        <v>227</v>
      </c>
      <c r="J48" s="11" t="s">
        <v>256</v>
      </c>
      <c r="K48" s="11" t="s">
        <v>185</v>
      </c>
      <c r="L48" s="70">
        <v>30638</v>
      </c>
      <c r="M48" s="11" t="s">
        <v>338</v>
      </c>
      <c r="N48" s="11">
        <v>3688390292</v>
      </c>
      <c r="O48" s="11" t="s">
        <v>339</v>
      </c>
      <c r="P48" s="11" t="s">
        <v>144</v>
      </c>
      <c r="Q48" s="11" t="s">
        <v>145</v>
      </c>
      <c r="R48" s="68">
        <v>45733</v>
      </c>
      <c r="S48" s="11" t="s">
        <v>174</v>
      </c>
      <c r="T48" s="11" t="s">
        <v>166</v>
      </c>
      <c r="U48" s="11">
        <v>85000</v>
      </c>
      <c r="V48" s="68">
        <v>45781</v>
      </c>
      <c r="W48" s="12">
        <f t="shared" si="8"/>
        <v>1</v>
      </c>
      <c r="X48" s="12">
        <f t="shared" si="9"/>
        <v>1</v>
      </c>
      <c r="Y48" s="12">
        <f t="shared" si="10"/>
        <v>1</v>
      </c>
      <c r="Z48" s="12">
        <f t="shared" si="11"/>
        <v>1</v>
      </c>
      <c r="AA48" s="12">
        <f t="shared" si="12"/>
        <v>1</v>
      </c>
      <c r="AB48" s="12">
        <f t="shared" si="13"/>
        <v>1</v>
      </c>
      <c r="AC48" s="12">
        <f t="shared" si="14"/>
        <v>1</v>
      </c>
      <c r="AD48" s="12">
        <f t="shared" si="42"/>
        <v>1</v>
      </c>
      <c r="AE48" s="12">
        <f t="shared" si="43"/>
        <v>1</v>
      </c>
      <c r="AF48" s="12">
        <f t="shared" si="44"/>
        <v>1</v>
      </c>
      <c r="AG48" s="12">
        <f t="shared" si="45"/>
        <v>1</v>
      </c>
      <c r="AH48" s="12">
        <f t="shared" si="46"/>
        <v>1</v>
      </c>
      <c r="AI48" s="12">
        <f t="shared" si="47"/>
        <v>1</v>
      </c>
      <c r="AJ48" s="12">
        <f t="shared" si="48"/>
        <v>1</v>
      </c>
      <c r="AK48" s="12">
        <f t="shared" si="49"/>
        <v>1</v>
      </c>
      <c r="AL48" s="12">
        <f t="shared" si="50"/>
        <v>1</v>
      </c>
      <c r="AM48" s="12">
        <f t="shared" si="24"/>
        <v>1</v>
      </c>
      <c r="AN48" s="12">
        <f t="shared" si="25"/>
        <v>1</v>
      </c>
      <c r="AO48" s="12">
        <f t="shared" si="26"/>
        <v>1</v>
      </c>
      <c r="AP48" s="12">
        <f t="shared" si="27"/>
        <v>1</v>
      </c>
      <c r="AQ48" s="12">
        <f t="shared" si="28"/>
        <v>1</v>
      </c>
      <c r="AR48" s="12">
        <f t="shared" si="29"/>
        <v>1</v>
      </c>
      <c r="AS48" s="12" cm="1">
        <f t="array" ref="AS48">IF(AND(H48&lt;&gt;"",SUMPRODUCT(--ISNUMBER(FIND({0;1;2;3;4;5;6;7;8;9},H48)))=0),1,0)</f>
        <v>1</v>
      </c>
      <c r="AT48" s="12" cm="1">
        <f t="array" ref="AT48">IF(AND(I48&lt;&gt;"",SUMPRODUCT(--ISNUMBER(FIND({0;1;2;3;4;5;6;7;8;9},I48)))=0),1,0)</f>
        <v>1</v>
      </c>
      <c r="AU48" s="12" cm="1">
        <f t="array" ref="AU48">IF(AND(J48&lt;&gt;"",SUMPRODUCT(--ISNUMBER(FIND({0;1;2;3;4;5;6;7;8;9},J48)))=0),1,0)</f>
        <v>1</v>
      </c>
      <c r="AV48" s="12">
        <f t="shared" si="51"/>
        <v>1</v>
      </c>
      <c r="AW48" s="12">
        <f t="shared" ca="1" si="30"/>
        <v>1</v>
      </c>
      <c r="AX48" s="12">
        <f t="shared" si="31"/>
        <v>1</v>
      </c>
      <c r="AY48" s="12">
        <f t="shared" si="32"/>
        <v>1</v>
      </c>
      <c r="AZ48" s="12">
        <f t="shared" si="33"/>
        <v>1</v>
      </c>
      <c r="BA48" s="12">
        <f t="shared" si="34"/>
        <v>1</v>
      </c>
      <c r="BB48" s="12">
        <f t="shared" si="35"/>
        <v>1</v>
      </c>
      <c r="BC48" s="12">
        <f t="shared" ca="1" si="36"/>
        <v>1</v>
      </c>
      <c r="BD48" s="12">
        <f t="shared" si="37"/>
        <v>1</v>
      </c>
      <c r="BE48" s="12">
        <f t="shared" si="38"/>
        <v>1</v>
      </c>
      <c r="BF48" s="12">
        <f t="shared" si="39"/>
        <v>1</v>
      </c>
      <c r="BG48" s="12">
        <f t="shared" ca="1" si="40"/>
        <v>1</v>
      </c>
    </row>
    <row r="49" spans="1:59" ht="15.75" customHeight="1" x14ac:dyDescent="0.2">
      <c r="A49" s="19">
        <f t="shared" si="4"/>
        <v>1</v>
      </c>
      <c r="B49" s="20">
        <f t="shared" si="5"/>
        <v>1</v>
      </c>
      <c r="C49" s="20">
        <f t="shared" ca="1" si="6"/>
        <v>1</v>
      </c>
      <c r="D49" s="50">
        <f t="shared" ca="1" si="41"/>
        <v>0</v>
      </c>
      <c r="E49" s="11" t="s">
        <v>340</v>
      </c>
      <c r="F49" s="11" t="s">
        <v>149</v>
      </c>
      <c r="G49" s="11">
        <v>1000000048</v>
      </c>
      <c r="H49" s="11" t="s">
        <v>281</v>
      </c>
      <c r="I49" s="11" t="s">
        <v>194</v>
      </c>
      <c r="J49" s="11" t="s">
        <v>212</v>
      </c>
      <c r="K49" s="11" t="s">
        <v>185</v>
      </c>
      <c r="L49" s="70">
        <v>33452</v>
      </c>
      <c r="M49" s="11" t="s">
        <v>341</v>
      </c>
      <c r="N49" s="11">
        <v>3890885282</v>
      </c>
      <c r="O49" s="11" t="s">
        <v>342</v>
      </c>
      <c r="P49" s="11" t="s">
        <v>217</v>
      </c>
      <c r="Q49" s="11" t="s">
        <v>218</v>
      </c>
      <c r="R49" s="68">
        <v>45618</v>
      </c>
      <c r="S49" s="11" t="s">
        <v>157</v>
      </c>
      <c r="T49" s="11" t="s">
        <v>166</v>
      </c>
      <c r="U49" s="11">
        <v>75000</v>
      </c>
      <c r="V49" s="68">
        <v>45727</v>
      </c>
      <c r="W49" s="12">
        <f t="shared" si="8"/>
        <v>1</v>
      </c>
      <c r="X49" s="12">
        <f t="shared" si="9"/>
        <v>1</v>
      </c>
      <c r="Y49" s="12">
        <f t="shared" si="10"/>
        <v>1</v>
      </c>
      <c r="Z49" s="12">
        <f t="shared" si="11"/>
        <v>1</v>
      </c>
      <c r="AA49" s="12">
        <f t="shared" si="12"/>
        <v>1</v>
      </c>
      <c r="AB49" s="12">
        <f t="shared" si="13"/>
        <v>1</v>
      </c>
      <c r="AC49" s="12">
        <f t="shared" si="14"/>
        <v>1</v>
      </c>
      <c r="AD49" s="12">
        <f t="shared" si="42"/>
        <v>1</v>
      </c>
      <c r="AE49" s="12">
        <f t="shared" si="43"/>
        <v>1</v>
      </c>
      <c r="AF49" s="12">
        <f t="shared" si="44"/>
        <v>1</v>
      </c>
      <c r="AG49" s="12">
        <f t="shared" si="45"/>
        <v>1</v>
      </c>
      <c r="AH49" s="12">
        <f t="shared" si="46"/>
        <v>1</v>
      </c>
      <c r="AI49" s="12">
        <f t="shared" si="47"/>
        <v>1</v>
      </c>
      <c r="AJ49" s="12">
        <f t="shared" si="48"/>
        <v>1</v>
      </c>
      <c r="AK49" s="12">
        <f t="shared" si="49"/>
        <v>1</v>
      </c>
      <c r="AL49" s="12">
        <f t="shared" si="50"/>
        <v>1</v>
      </c>
      <c r="AM49" s="12">
        <f t="shared" si="24"/>
        <v>1</v>
      </c>
      <c r="AN49" s="12">
        <f t="shared" si="25"/>
        <v>1</v>
      </c>
      <c r="AO49" s="12">
        <f t="shared" si="26"/>
        <v>1</v>
      </c>
      <c r="AP49" s="12">
        <f t="shared" si="27"/>
        <v>1</v>
      </c>
      <c r="AQ49" s="12">
        <f t="shared" si="28"/>
        <v>1</v>
      </c>
      <c r="AR49" s="12">
        <f t="shared" si="29"/>
        <v>1</v>
      </c>
      <c r="AS49" s="12" cm="1">
        <f t="array" ref="AS49">IF(AND(H49&lt;&gt;"",SUMPRODUCT(--ISNUMBER(FIND({0;1;2;3;4;5;6;7;8;9},H49)))=0),1,0)</f>
        <v>1</v>
      </c>
      <c r="AT49" s="12" cm="1">
        <f t="array" ref="AT49">IF(AND(I49&lt;&gt;"",SUMPRODUCT(--ISNUMBER(FIND({0;1;2;3;4;5;6;7;8;9},I49)))=0),1,0)</f>
        <v>1</v>
      </c>
      <c r="AU49" s="12" cm="1">
        <f t="array" ref="AU49">IF(AND(J49&lt;&gt;"",SUMPRODUCT(--ISNUMBER(FIND({0;1;2;3;4;5;6;7;8;9},J49)))=0),1,0)</f>
        <v>1</v>
      </c>
      <c r="AV49" s="12">
        <f t="shared" si="51"/>
        <v>1</v>
      </c>
      <c r="AW49" s="12">
        <f t="shared" ca="1" si="30"/>
        <v>1</v>
      </c>
      <c r="AX49" s="12">
        <f t="shared" si="31"/>
        <v>1</v>
      </c>
      <c r="AY49" s="12">
        <f t="shared" si="32"/>
        <v>1</v>
      </c>
      <c r="AZ49" s="12">
        <f t="shared" si="33"/>
        <v>1</v>
      </c>
      <c r="BA49" s="12">
        <f t="shared" si="34"/>
        <v>1</v>
      </c>
      <c r="BB49" s="12">
        <f t="shared" si="35"/>
        <v>1</v>
      </c>
      <c r="BC49" s="12">
        <f t="shared" ca="1" si="36"/>
        <v>1</v>
      </c>
      <c r="BD49" s="12">
        <f t="shared" si="37"/>
        <v>1</v>
      </c>
      <c r="BE49" s="12">
        <f t="shared" si="38"/>
        <v>1</v>
      </c>
      <c r="BF49" s="12">
        <f t="shared" si="39"/>
        <v>1</v>
      </c>
      <c r="BG49" s="12">
        <f t="shared" ca="1" si="40"/>
        <v>1</v>
      </c>
    </row>
    <row r="50" spans="1:59" ht="15.75" customHeight="1" x14ac:dyDescent="0.2">
      <c r="A50" s="19">
        <f t="shared" si="4"/>
        <v>1</v>
      </c>
      <c r="B50" s="20">
        <f t="shared" si="5"/>
        <v>1</v>
      </c>
      <c r="C50" s="20">
        <f t="shared" ca="1" si="6"/>
        <v>1</v>
      </c>
      <c r="D50" s="50">
        <f t="shared" ca="1" si="41"/>
        <v>0</v>
      </c>
      <c r="E50" s="11" t="s">
        <v>343</v>
      </c>
      <c r="F50" s="11" t="s">
        <v>137</v>
      </c>
      <c r="G50" s="11">
        <v>1000000049</v>
      </c>
      <c r="H50" s="11" t="s">
        <v>281</v>
      </c>
      <c r="I50" s="11" t="s">
        <v>183</v>
      </c>
      <c r="J50" s="11" t="s">
        <v>151</v>
      </c>
      <c r="K50" s="11" t="s">
        <v>185</v>
      </c>
      <c r="L50" s="70">
        <v>37620</v>
      </c>
      <c r="M50" s="11" t="s">
        <v>344</v>
      </c>
      <c r="N50" s="11">
        <v>3346121033</v>
      </c>
      <c r="O50" s="11" t="s">
        <v>345</v>
      </c>
      <c r="P50" s="11" t="s">
        <v>179</v>
      </c>
      <c r="Q50" s="11" t="s">
        <v>180</v>
      </c>
      <c r="R50" s="68">
        <v>44860</v>
      </c>
      <c r="S50" s="11" t="s">
        <v>174</v>
      </c>
      <c r="T50" s="11" t="s">
        <v>158</v>
      </c>
      <c r="U50" s="11">
        <v>90000</v>
      </c>
      <c r="V50" s="68">
        <v>45040</v>
      </c>
      <c r="W50" s="12">
        <f t="shared" si="8"/>
        <v>1</v>
      </c>
      <c r="X50" s="12">
        <f t="shared" si="9"/>
        <v>1</v>
      </c>
      <c r="Y50" s="12">
        <f t="shared" si="10"/>
        <v>1</v>
      </c>
      <c r="Z50" s="12">
        <f t="shared" si="11"/>
        <v>1</v>
      </c>
      <c r="AA50" s="12">
        <f t="shared" si="12"/>
        <v>1</v>
      </c>
      <c r="AB50" s="12">
        <f t="shared" si="13"/>
        <v>1</v>
      </c>
      <c r="AC50" s="12">
        <f t="shared" si="14"/>
        <v>1</v>
      </c>
      <c r="AD50" s="12">
        <f t="shared" si="42"/>
        <v>1</v>
      </c>
      <c r="AE50" s="12">
        <f t="shared" si="43"/>
        <v>1</v>
      </c>
      <c r="AF50" s="12">
        <f t="shared" si="44"/>
        <v>1</v>
      </c>
      <c r="AG50" s="12">
        <f t="shared" si="45"/>
        <v>1</v>
      </c>
      <c r="AH50" s="12">
        <f t="shared" si="46"/>
        <v>1</v>
      </c>
      <c r="AI50" s="12">
        <f t="shared" si="47"/>
        <v>1</v>
      </c>
      <c r="AJ50" s="12">
        <f t="shared" si="48"/>
        <v>1</v>
      </c>
      <c r="AK50" s="12">
        <f t="shared" si="49"/>
        <v>1</v>
      </c>
      <c r="AL50" s="12">
        <f t="shared" si="50"/>
        <v>1</v>
      </c>
      <c r="AM50" s="12">
        <f t="shared" si="24"/>
        <v>1</v>
      </c>
      <c r="AN50" s="12">
        <f t="shared" si="25"/>
        <v>1</v>
      </c>
      <c r="AO50" s="12">
        <f t="shared" si="26"/>
        <v>1</v>
      </c>
      <c r="AP50" s="12">
        <f t="shared" si="27"/>
        <v>1</v>
      </c>
      <c r="AQ50" s="12">
        <f t="shared" si="28"/>
        <v>1</v>
      </c>
      <c r="AR50" s="12">
        <f t="shared" si="29"/>
        <v>1</v>
      </c>
      <c r="AS50" s="12" cm="1">
        <f t="array" ref="AS50">IF(AND(H50&lt;&gt;"",SUMPRODUCT(--ISNUMBER(FIND({0;1;2;3;4;5;6;7;8;9},H50)))=0),1,0)</f>
        <v>1</v>
      </c>
      <c r="AT50" s="12" cm="1">
        <f t="array" ref="AT50">IF(AND(I50&lt;&gt;"",SUMPRODUCT(--ISNUMBER(FIND({0;1;2;3;4;5;6;7;8;9},I50)))=0),1,0)</f>
        <v>1</v>
      </c>
      <c r="AU50" s="12" cm="1">
        <f t="array" ref="AU50">IF(AND(J50&lt;&gt;"",SUMPRODUCT(--ISNUMBER(FIND({0;1;2;3;4;5;6;7;8;9},J50)))=0),1,0)</f>
        <v>1</v>
      </c>
      <c r="AV50" s="12">
        <f t="shared" si="51"/>
        <v>1</v>
      </c>
      <c r="AW50" s="12">
        <f t="shared" ca="1" si="30"/>
        <v>1</v>
      </c>
      <c r="AX50" s="12">
        <f t="shared" si="31"/>
        <v>1</v>
      </c>
      <c r="AY50" s="12">
        <f t="shared" si="32"/>
        <v>1</v>
      </c>
      <c r="AZ50" s="12">
        <f t="shared" si="33"/>
        <v>1</v>
      </c>
      <c r="BA50" s="12">
        <f t="shared" si="34"/>
        <v>1</v>
      </c>
      <c r="BB50" s="12">
        <f t="shared" si="35"/>
        <v>1</v>
      </c>
      <c r="BC50" s="12">
        <f t="shared" ca="1" si="36"/>
        <v>1</v>
      </c>
      <c r="BD50" s="12">
        <f t="shared" si="37"/>
        <v>1</v>
      </c>
      <c r="BE50" s="12">
        <f t="shared" si="38"/>
        <v>1</v>
      </c>
      <c r="BF50" s="12">
        <f t="shared" si="39"/>
        <v>1</v>
      </c>
      <c r="BG50" s="12">
        <f t="shared" ca="1" si="40"/>
        <v>1</v>
      </c>
    </row>
    <row r="51" spans="1:59" ht="15.75" customHeight="1" x14ac:dyDescent="0.2">
      <c r="A51" s="19">
        <f t="shared" si="4"/>
        <v>1</v>
      </c>
      <c r="B51" s="20">
        <f t="shared" si="5"/>
        <v>1</v>
      </c>
      <c r="C51" s="20">
        <f t="shared" ca="1" si="6"/>
        <v>1</v>
      </c>
      <c r="D51" s="50">
        <f t="shared" ca="1" si="41"/>
        <v>0</v>
      </c>
      <c r="E51" s="11" t="s">
        <v>346</v>
      </c>
      <c r="F51" s="11" t="s">
        <v>149</v>
      </c>
      <c r="G51" s="11">
        <v>1000000050</v>
      </c>
      <c r="H51" s="11" t="s">
        <v>182</v>
      </c>
      <c r="I51" s="11" t="s">
        <v>194</v>
      </c>
      <c r="J51" s="11" t="s">
        <v>168</v>
      </c>
      <c r="K51" s="11" t="s">
        <v>185</v>
      </c>
      <c r="L51" s="70">
        <v>29992</v>
      </c>
      <c r="M51" s="11" t="s">
        <v>347</v>
      </c>
      <c r="N51" s="11">
        <v>3531200303</v>
      </c>
      <c r="O51" s="11" t="s">
        <v>348</v>
      </c>
      <c r="P51" s="11" t="s">
        <v>248</v>
      </c>
      <c r="Q51" s="11" t="s">
        <v>249</v>
      </c>
      <c r="R51" s="68">
        <v>45639</v>
      </c>
      <c r="S51" s="11" t="s">
        <v>146</v>
      </c>
      <c r="T51" s="11" t="s">
        <v>147</v>
      </c>
      <c r="U51" s="11">
        <v>75000</v>
      </c>
      <c r="V51" s="68">
        <v>45836</v>
      </c>
      <c r="W51" s="12">
        <f t="shared" si="8"/>
        <v>1</v>
      </c>
      <c r="X51" s="12">
        <f t="shared" si="9"/>
        <v>1</v>
      </c>
      <c r="Y51" s="12">
        <f t="shared" si="10"/>
        <v>1</v>
      </c>
      <c r="Z51" s="12">
        <f t="shared" si="11"/>
        <v>1</v>
      </c>
      <c r="AA51" s="12">
        <f t="shared" si="12"/>
        <v>1</v>
      </c>
      <c r="AB51" s="12">
        <f t="shared" si="13"/>
        <v>1</v>
      </c>
      <c r="AC51" s="12">
        <f t="shared" si="14"/>
        <v>1</v>
      </c>
      <c r="AD51" s="12">
        <f t="shared" si="42"/>
        <v>1</v>
      </c>
      <c r="AE51" s="12">
        <f t="shared" si="43"/>
        <v>1</v>
      </c>
      <c r="AF51" s="12">
        <f t="shared" si="44"/>
        <v>1</v>
      </c>
      <c r="AG51" s="12">
        <f t="shared" si="45"/>
        <v>1</v>
      </c>
      <c r="AH51" s="12">
        <f t="shared" si="46"/>
        <v>1</v>
      </c>
      <c r="AI51" s="12">
        <f t="shared" si="47"/>
        <v>1</v>
      </c>
      <c r="AJ51" s="12">
        <f t="shared" si="48"/>
        <v>1</v>
      </c>
      <c r="AK51" s="12">
        <f t="shared" si="49"/>
        <v>1</v>
      </c>
      <c r="AL51" s="12">
        <f t="shared" si="50"/>
        <v>1</v>
      </c>
      <c r="AM51" s="12">
        <f t="shared" si="24"/>
        <v>1</v>
      </c>
      <c r="AN51" s="12">
        <f t="shared" si="25"/>
        <v>1</v>
      </c>
      <c r="AO51" s="12">
        <f t="shared" si="26"/>
        <v>1</v>
      </c>
      <c r="AP51" s="12">
        <f t="shared" si="27"/>
        <v>1</v>
      </c>
      <c r="AQ51" s="12">
        <f t="shared" si="28"/>
        <v>1</v>
      </c>
      <c r="AR51" s="12">
        <f t="shared" si="29"/>
        <v>1</v>
      </c>
      <c r="AS51" s="12" cm="1">
        <f t="array" ref="AS51">IF(AND(H51&lt;&gt;"",SUMPRODUCT(--ISNUMBER(FIND({0;1;2;3;4;5;6;7;8;9},H51)))=0),1,0)</f>
        <v>1</v>
      </c>
      <c r="AT51" s="12" cm="1">
        <f t="array" ref="AT51">IF(AND(I51&lt;&gt;"",SUMPRODUCT(--ISNUMBER(FIND({0;1;2;3;4;5;6;7;8;9},I51)))=0),1,0)</f>
        <v>1</v>
      </c>
      <c r="AU51" s="12" cm="1">
        <f t="array" ref="AU51">IF(AND(J51&lt;&gt;"",SUMPRODUCT(--ISNUMBER(FIND({0;1;2;3;4;5;6;7;8;9},J51)))=0),1,0)</f>
        <v>1</v>
      </c>
      <c r="AV51" s="12">
        <f t="shared" si="51"/>
        <v>1</v>
      </c>
      <c r="AW51" s="12">
        <f t="shared" ca="1" si="30"/>
        <v>1</v>
      </c>
      <c r="AX51" s="12">
        <f t="shared" si="31"/>
        <v>1</v>
      </c>
      <c r="AY51" s="12">
        <f t="shared" si="32"/>
        <v>1</v>
      </c>
      <c r="AZ51" s="12">
        <f t="shared" si="33"/>
        <v>1</v>
      </c>
      <c r="BA51" s="12">
        <f t="shared" si="34"/>
        <v>1</v>
      </c>
      <c r="BB51" s="12">
        <f t="shared" si="35"/>
        <v>1</v>
      </c>
      <c r="BC51" s="12">
        <f t="shared" ca="1" si="36"/>
        <v>1</v>
      </c>
      <c r="BD51" s="12">
        <f t="shared" si="37"/>
        <v>1</v>
      </c>
      <c r="BE51" s="12">
        <f t="shared" si="38"/>
        <v>1</v>
      </c>
      <c r="BF51" s="12">
        <f t="shared" si="39"/>
        <v>1</v>
      </c>
      <c r="BG51" s="12">
        <f t="shared" ca="1" si="40"/>
        <v>1</v>
      </c>
    </row>
    <row r="52" spans="1:59" ht="15.75" customHeight="1" x14ac:dyDescent="0.2">
      <c r="A52" s="19">
        <f t="shared" si="4"/>
        <v>1</v>
      </c>
      <c r="B52" s="20">
        <f t="shared" si="5"/>
        <v>1</v>
      </c>
      <c r="C52" s="20">
        <f t="shared" ca="1" si="6"/>
        <v>1</v>
      </c>
      <c r="D52" s="50">
        <f t="shared" ca="1" si="41"/>
        <v>0</v>
      </c>
      <c r="E52" s="11" t="s">
        <v>349</v>
      </c>
      <c r="F52" s="11" t="s">
        <v>137</v>
      </c>
      <c r="G52" s="11">
        <v>1000000051</v>
      </c>
      <c r="H52" s="11" t="s">
        <v>176</v>
      </c>
      <c r="I52" s="11" t="s">
        <v>184</v>
      </c>
      <c r="J52" s="11" t="s">
        <v>212</v>
      </c>
      <c r="K52" s="11" t="s">
        <v>141</v>
      </c>
      <c r="L52" s="70">
        <v>38121</v>
      </c>
      <c r="M52" s="11" t="s">
        <v>350</v>
      </c>
      <c r="N52" s="11">
        <v>3479168717</v>
      </c>
      <c r="O52" s="11" t="s">
        <v>351</v>
      </c>
      <c r="P52" s="11" t="s">
        <v>224</v>
      </c>
      <c r="Q52" s="11" t="s">
        <v>225</v>
      </c>
      <c r="R52" s="68">
        <v>45849</v>
      </c>
      <c r="S52" s="11" t="s">
        <v>174</v>
      </c>
      <c r="T52" s="11" t="s">
        <v>147</v>
      </c>
      <c r="U52" s="11">
        <v>90000</v>
      </c>
      <c r="V52" s="68">
        <v>45923</v>
      </c>
      <c r="W52" s="12">
        <f t="shared" si="8"/>
        <v>1</v>
      </c>
      <c r="X52" s="12">
        <f t="shared" si="9"/>
        <v>1</v>
      </c>
      <c r="Y52" s="12">
        <f t="shared" si="10"/>
        <v>1</v>
      </c>
      <c r="Z52" s="12">
        <f t="shared" si="11"/>
        <v>1</v>
      </c>
      <c r="AA52" s="12">
        <f t="shared" si="12"/>
        <v>1</v>
      </c>
      <c r="AB52" s="12">
        <f t="shared" si="13"/>
        <v>1</v>
      </c>
      <c r="AC52" s="12">
        <f t="shared" si="14"/>
        <v>1</v>
      </c>
      <c r="AD52" s="12">
        <f t="shared" si="42"/>
        <v>1</v>
      </c>
      <c r="AE52" s="12">
        <f t="shared" si="43"/>
        <v>1</v>
      </c>
      <c r="AF52" s="12">
        <f t="shared" si="44"/>
        <v>1</v>
      </c>
      <c r="AG52" s="12">
        <f t="shared" si="45"/>
        <v>1</v>
      </c>
      <c r="AH52" s="12">
        <f t="shared" si="46"/>
        <v>1</v>
      </c>
      <c r="AI52" s="12">
        <f t="shared" si="47"/>
        <v>1</v>
      </c>
      <c r="AJ52" s="12">
        <f t="shared" si="48"/>
        <v>1</v>
      </c>
      <c r="AK52" s="12">
        <f t="shared" si="49"/>
        <v>1</v>
      </c>
      <c r="AL52" s="12">
        <f t="shared" si="50"/>
        <v>1</v>
      </c>
      <c r="AM52" s="12">
        <f t="shared" si="24"/>
        <v>1</v>
      </c>
      <c r="AN52" s="12">
        <f t="shared" si="25"/>
        <v>1</v>
      </c>
      <c r="AO52" s="12">
        <f t="shared" si="26"/>
        <v>1</v>
      </c>
      <c r="AP52" s="12">
        <f t="shared" si="27"/>
        <v>1</v>
      </c>
      <c r="AQ52" s="12">
        <f t="shared" si="28"/>
        <v>1</v>
      </c>
      <c r="AR52" s="12">
        <f t="shared" si="29"/>
        <v>1</v>
      </c>
      <c r="AS52" s="12" cm="1">
        <f t="array" ref="AS52">IF(AND(H52&lt;&gt;"",SUMPRODUCT(--ISNUMBER(FIND({0;1;2;3;4;5;6;7;8;9},H52)))=0),1,0)</f>
        <v>1</v>
      </c>
      <c r="AT52" s="12" cm="1">
        <f t="array" ref="AT52">IF(AND(I52&lt;&gt;"",SUMPRODUCT(--ISNUMBER(FIND({0;1;2;3;4;5;6;7;8;9},I52)))=0),1,0)</f>
        <v>1</v>
      </c>
      <c r="AU52" s="12" cm="1">
        <f t="array" ref="AU52">IF(AND(J52&lt;&gt;"",SUMPRODUCT(--ISNUMBER(FIND({0;1;2;3;4;5;6;7;8;9},J52)))=0),1,0)</f>
        <v>1</v>
      </c>
      <c r="AV52" s="12">
        <f t="shared" si="51"/>
        <v>1</v>
      </c>
      <c r="AW52" s="12">
        <f t="shared" ca="1" si="30"/>
        <v>1</v>
      </c>
      <c r="AX52" s="12">
        <f t="shared" si="31"/>
        <v>1</v>
      </c>
      <c r="AY52" s="12">
        <f t="shared" si="32"/>
        <v>1</v>
      </c>
      <c r="AZ52" s="12">
        <f t="shared" si="33"/>
        <v>1</v>
      </c>
      <c r="BA52" s="12">
        <f t="shared" si="34"/>
        <v>1</v>
      </c>
      <c r="BB52" s="12">
        <f t="shared" si="35"/>
        <v>1</v>
      </c>
      <c r="BC52" s="12">
        <f t="shared" ca="1" si="36"/>
        <v>1</v>
      </c>
      <c r="BD52" s="12">
        <f t="shared" si="37"/>
        <v>1</v>
      </c>
      <c r="BE52" s="12">
        <f t="shared" si="38"/>
        <v>1</v>
      </c>
      <c r="BF52" s="12">
        <f t="shared" si="39"/>
        <v>1</v>
      </c>
      <c r="BG52" s="12">
        <f t="shared" ca="1" si="40"/>
        <v>1</v>
      </c>
    </row>
    <row r="53" spans="1:59" ht="15.75" customHeight="1" x14ac:dyDescent="0.2">
      <c r="A53" s="19">
        <f t="shared" si="4"/>
        <v>1</v>
      </c>
      <c r="B53" s="20">
        <f t="shared" si="5"/>
        <v>1</v>
      </c>
      <c r="C53" s="20">
        <f t="shared" ca="1" si="6"/>
        <v>1</v>
      </c>
      <c r="D53" s="50">
        <f t="shared" ca="1" si="41"/>
        <v>0</v>
      </c>
      <c r="E53" s="11" t="s">
        <v>352</v>
      </c>
      <c r="F53" s="11" t="s">
        <v>160</v>
      </c>
      <c r="G53" s="11">
        <v>1000000052</v>
      </c>
      <c r="H53" s="11" t="s">
        <v>294</v>
      </c>
      <c r="I53" s="11" t="s">
        <v>212</v>
      </c>
      <c r="J53" s="11" t="s">
        <v>267</v>
      </c>
      <c r="K53" s="11" t="s">
        <v>185</v>
      </c>
      <c r="L53" s="70">
        <v>35132</v>
      </c>
      <c r="M53" s="11" t="s">
        <v>353</v>
      </c>
      <c r="N53" s="11">
        <v>3982732557</v>
      </c>
      <c r="O53" s="11" t="s">
        <v>354</v>
      </c>
      <c r="P53" s="11" t="s">
        <v>224</v>
      </c>
      <c r="Q53" s="11" t="s">
        <v>225</v>
      </c>
      <c r="R53" s="68">
        <v>44857</v>
      </c>
      <c r="S53" s="11" t="s">
        <v>157</v>
      </c>
      <c r="T53" s="11" t="s">
        <v>158</v>
      </c>
      <c r="U53" s="11">
        <v>90000</v>
      </c>
      <c r="V53" s="68">
        <v>45124</v>
      </c>
      <c r="W53" s="12">
        <f t="shared" si="8"/>
        <v>1</v>
      </c>
      <c r="X53" s="12">
        <f t="shared" si="9"/>
        <v>1</v>
      </c>
      <c r="Y53" s="12">
        <f t="shared" si="10"/>
        <v>1</v>
      </c>
      <c r="Z53" s="12">
        <f t="shared" si="11"/>
        <v>1</v>
      </c>
      <c r="AA53" s="12">
        <f t="shared" si="12"/>
        <v>1</v>
      </c>
      <c r="AB53" s="12">
        <f t="shared" si="13"/>
        <v>1</v>
      </c>
      <c r="AC53" s="12">
        <f t="shared" si="14"/>
        <v>1</v>
      </c>
      <c r="AD53" s="12">
        <f t="shared" si="42"/>
        <v>1</v>
      </c>
      <c r="AE53" s="12">
        <f t="shared" si="43"/>
        <v>1</v>
      </c>
      <c r="AF53" s="12">
        <f t="shared" si="44"/>
        <v>1</v>
      </c>
      <c r="AG53" s="12">
        <f t="shared" si="45"/>
        <v>1</v>
      </c>
      <c r="AH53" s="12">
        <f t="shared" si="46"/>
        <v>1</v>
      </c>
      <c r="AI53" s="12">
        <f t="shared" si="47"/>
        <v>1</v>
      </c>
      <c r="AJ53" s="12">
        <f t="shared" si="48"/>
        <v>1</v>
      </c>
      <c r="AK53" s="12">
        <f t="shared" si="49"/>
        <v>1</v>
      </c>
      <c r="AL53" s="12">
        <f t="shared" si="50"/>
        <v>1</v>
      </c>
      <c r="AM53" s="12">
        <f t="shared" si="24"/>
        <v>1</v>
      </c>
      <c r="AN53" s="12">
        <f t="shared" si="25"/>
        <v>1</v>
      </c>
      <c r="AO53" s="12">
        <f t="shared" si="26"/>
        <v>1</v>
      </c>
      <c r="AP53" s="12">
        <f t="shared" si="27"/>
        <v>1</v>
      </c>
      <c r="AQ53" s="12">
        <f t="shared" si="28"/>
        <v>1</v>
      </c>
      <c r="AR53" s="12">
        <f t="shared" si="29"/>
        <v>1</v>
      </c>
      <c r="AS53" s="12" cm="1">
        <f t="array" ref="AS53">IF(AND(H53&lt;&gt;"",SUMPRODUCT(--ISNUMBER(FIND({0;1;2;3;4;5;6;7;8;9},H53)))=0),1,0)</f>
        <v>1</v>
      </c>
      <c r="AT53" s="12" cm="1">
        <f t="array" ref="AT53">IF(AND(I53&lt;&gt;"",SUMPRODUCT(--ISNUMBER(FIND({0;1;2;3;4;5;6;7;8;9},I53)))=0),1,0)</f>
        <v>1</v>
      </c>
      <c r="AU53" s="12" cm="1">
        <f t="array" ref="AU53">IF(AND(J53&lt;&gt;"",SUMPRODUCT(--ISNUMBER(FIND({0;1;2;3;4;5;6;7;8;9},J53)))=0),1,0)</f>
        <v>1</v>
      </c>
      <c r="AV53" s="12">
        <f t="shared" si="51"/>
        <v>1</v>
      </c>
      <c r="AW53" s="12">
        <f t="shared" ca="1" si="30"/>
        <v>1</v>
      </c>
      <c r="AX53" s="12">
        <f t="shared" si="31"/>
        <v>1</v>
      </c>
      <c r="AY53" s="12">
        <f t="shared" si="32"/>
        <v>1</v>
      </c>
      <c r="AZ53" s="12">
        <f t="shared" si="33"/>
        <v>1</v>
      </c>
      <c r="BA53" s="12">
        <f t="shared" si="34"/>
        <v>1</v>
      </c>
      <c r="BB53" s="12">
        <f t="shared" si="35"/>
        <v>1</v>
      </c>
      <c r="BC53" s="12">
        <f t="shared" ca="1" si="36"/>
        <v>1</v>
      </c>
      <c r="BD53" s="12">
        <f t="shared" si="37"/>
        <v>1</v>
      </c>
      <c r="BE53" s="12">
        <f t="shared" si="38"/>
        <v>1</v>
      </c>
      <c r="BF53" s="12">
        <f t="shared" si="39"/>
        <v>1</v>
      </c>
      <c r="BG53" s="12">
        <f t="shared" ca="1" si="40"/>
        <v>1</v>
      </c>
    </row>
    <row r="54" spans="1:59" ht="15.75" customHeight="1" x14ac:dyDescent="0.2">
      <c r="A54" s="19">
        <f t="shared" si="4"/>
        <v>1</v>
      </c>
      <c r="B54" s="20">
        <f t="shared" si="5"/>
        <v>1</v>
      </c>
      <c r="C54" s="20">
        <f t="shared" ca="1" si="6"/>
        <v>1</v>
      </c>
      <c r="D54" s="50">
        <f t="shared" ca="1" si="41"/>
        <v>0</v>
      </c>
      <c r="E54" s="11" t="s">
        <v>355</v>
      </c>
      <c r="F54" s="11" t="s">
        <v>149</v>
      </c>
      <c r="G54" s="11">
        <v>1000000053</v>
      </c>
      <c r="H54" s="11" t="s">
        <v>220</v>
      </c>
      <c r="I54" s="11" t="s">
        <v>183</v>
      </c>
      <c r="J54" s="11" t="s">
        <v>194</v>
      </c>
      <c r="K54" s="11" t="s">
        <v>141</v>
      </c>
      <c r="L54" s="70">
        <v>35517</v>
      </c>
      <c r="M54" s="11" t="s">
        <v>356</v>
      </c>
      <c r="N54" s="11">
        <v>3102896869</v>
      </c>
      <c r="O54" s="11" t="s">
        <v>357</v>
      </c>
      <c r="P54" s="11" t="s">
        <v>217</v>
      </c>
      <c r="Q54" s="11" t="s">
        <v>218</v>
      </c>
      <c r="R54" s="68">
        <v>44995</v>
      </c>
      <c r="S54" s="11" t="s">
        <v>174</v>
      </c>
      <c r="T54" s="11" t="s">
        <v>166</v>
      </c>
      <c r="U54" s="11">
        <v>75000</v>
      </c>
      <c r="V54" s="68">
        <v>45246</v>
      </c>
      <c r="W54" s="12">
        <f t="shared" si="8"/>
        <v>1</v>
      </c>
      <c r="X54" s="12">
        <f t="shared" si="9"/>
        <v>1</v>
      </c>
      <c r="Y54" s="12">
        <f t="shared" si="10"/>
        <v>1</v>
      </c>
      <c r="Z54" s="12">
        <f t="shared" si="11"/>
        <v>1</v>
      </c>
      <c r="AA54" s="12">
        <f t="shared" si="12"/>
        <v>1</v>
      </c>
      <c r="AB54" s="12">
        <f t="shared" si="13"/>
        <v>1</v>
      </c>
      <c r="AC54" s="12">
        <f t="shared" si="14"/>
        <v>1</v>
      </c>
      <c r="AD54" s="12">
        <f t="shared" si="42"/>
        <v>1</v>
      </c>
      <c r="AE54" s="12">
        <f t="shared" si="43"/>
        <v>1</v>
      </c>
      <c r="AF54" s="12">
        <f t="shared" si="44"/>
        <v>1</v>
      </c>
      <c r="AG54" s="12">
        <f t="shared" si="45"/>
        <v>1</v>
      </c>
      <c r="AH54" s="12">
        <f t="shared" si="46"/>
        <v>1</v>
      </c>
      <c r="AI54" s="12">
        <f t="shared" si="47"/>
        <v>1</v>
      </c>
      <c r="AJ54" s="12">
        <f t="shared" si="48"/>
        <v>1</v>
      </c>
      <c r="AK54" s="12">
        <f t="shared" si="49"/>
        <v>1</v>
      </c>
      <c r="AL54" s="12">
        <f t="shared" si="50"/>
        <v>1</v>
      </c>
      <c r="AM54" s="12">
        <f t="shared" si="24"/>
        <v>1</v>
      </c>
      <c r="AN54" s="12">
        <f t="shared" si="25"/>
        <v>1</v>
      </c>
      <c r="AO54" s="12">
        <f t="shared" si="26"/>
        <v>1</v>
      </c>
      <c r="AP54" s="12">
        <f t="shared" si="27"/>
        <v>1</v>
      </c>
      <c r="AQ54" s="12">
        <f t="shared" si="28"/>
        <v>1</v>
      </c>
      <c r="AR54" s="12">
        <f t="shared" si="29"/>
        <v>1</v>
      </c>
      <c r="AS54" s="12" cm="1">
        <f t="array" ref="AS54">IF(AND(H54&lt;&gt;"",SUMPRODUCT(--ISNUMBER(FIND({0;1;2;3;4;5;6;7;8;9},H54)))=0),1,0)</f>
        <v>1</v>
      </c>
      <c r="AT54" s="12" cm="1">
        <f t="array" ref="AT54">IF(AND(I54&lt;&gt;"",SUMPRODUCT(--ISNUMBER(FIND({0;1;2;3;4;5;6;7;8;9},I54)))=0),1,0)</f>
        <v>1</v>
      </c>
      <c r="AU54" s="12" cm="1">
        <f t="array" ref="AU54">IF(AND(J54&lt;&gt;"",SUMPRODUCT(--ISNUMBER(FIND({0;1;2;3;4;5;6;7;8;9},J54)))=0),1,0)</f>
        <v>1</v>
      </c>
      <c r="AV54" s="12">
        <f t="shared" si="51"/>
        <v>1</v>
      </c>
      <c r="AW54" s="12">
        <f t="shared" ca="1" si="30"/>
        <v>1</v>
      </c>
      <c r="AX54" s="12">
        <f t="shared" si="31"/>
        <v>1</v>
      </c>
      <c r="AY54" s="12">
        <f t="shared" si="32"/>
        <v>1</v>
      </c>
      <c r="AZ54" s="12">
        <f t="shared" si="33"/>
        <v>1</v>
      </c>
      <c r="BA54" s="12">
        <f t="shared" si="34"/>
        <v>1</v>
      </c>
      <c r="BB54" s="12">
        <f t="shared" si="35"/>
        <v>1</v>
      </c>
      <c r="BC54" s="12">
        <f t="shared" ca="1" si="36"/>
        <v>1</v>
      </c>
      <c r="BD54" s="12">
        <f t="shared" si="37"/>
        <v>1</v>
      </c>
      <c r="BE54" s="12">
        <f t="shared" si="38"/>
        <v>1</v>
      </c>
      <c r="BF54" s="12">
        <f t="shared" si="39"/>
        <v>1</v>
      </c>
      <c r="BG54" s="12">
        <f t="shared" ca="1" si="40"/>
        <v>1</v>
      </c>
    </row>
    <row r="55" spans="1:59" ht="15.75" customHeight="1" x14ac:dyDescent="0.2">
      <c r="A55" s="19">
        <f t="shared" si="4"/>
        <v>1</v>
      </c>
      <c r="B55" s="20">
        <f t="shared" si="5"/>
        <v>1</v>
      </c>
      <c r="C55" s="20">
        <f t="shared" ca="1" si="6"/>
        <v>1</v>
      </c>
      <c r="D55" s="50">
        <f t="shared" ca="1" si="41"/>
        <v>0</v>
      </c>
      <c r="E55" s="11" t="s">
        <v>358</v>
      </c>
      <c r="F55" s="11" t="s">
        <v>160</v>
      </c>
      <c r="G55" s="11">
        <v>1000000054</v>
      </c>
      <c r="H55" s="11" t="s">
        <v>161</v>
      </c>
      <c r="I55" s="11" t="s">
        <v>212</v>
      </c>
      <c r="J55" s="11" t="s">
        <v>183</v>
      </c>
      <c r="K55" s="11" t="s">
        <v>141</v>
      </c>
      <c r="L55" s="70">
        <v>35517</v>
      </c>
      <c r="M55" s="11" t="s">
        <v>359</v>
      </c>
      <c r="N55" s="11">
        <v>3756154545</v>
      </c>
      <c r="O55" s="11" t="s">
        <v>360</v>
      </c>
      <c r="P55" s="11" t="s">
        <v>155</v>
      </c>
      <c r="Q55" s="11" t="s">
        <v>156</v>
      </c>
      <c r="R55" s="68">
        <v>45547</v>
      </c>
      <c r="S55" s="11" t="s">
        <v>174</v>
      </c>
      <c r="T55" s="11" t="s">
        <v>166</v>
      </c>
      <c r="U55" s="11">
        <v>85000</v>
      </c>
      <c r="V55" s="68">
        <v>45723</v>
      </c>
      <c r="W55" s="12">
        <f t="shared" si="8"/>
        <v>1</v>
      </c>
      <c r="X55" s="12">
        <f t="shared" si="9"/>
        <v>1</v>
      </c>
      <c r="Y55" s="12">
        <f t="shared" si="10"/>
        <v>1</v>
      </c>
      <c r="Z55" s="12">
        <f t="shared" si="11"/>
        <v>1</v>
      </c>
      <c r="AA55" s="12">
        <f t="shared" si="12"/>
        <v>1</v>
      </c>
      <c r="AB55" s="12">
        <f t="shared" si="13"/>
        <v>1</v>
      </c>
      <c r="AC55" s="12">
        <f t="shared" si="14"/>
        <v>1</v>
      </c>
      <c r="AD55" s="12">
        <f t="shared" si="42"/>
        <v>1</v>
      </c>
      <c r="AE55" s="12">
        <f t="shared" si="43"/>
        <v>1</v>
      </c>
      <c r="AF55" s="12">
        <f t="shared" si="44"/>
        <v>1</v>
      </c>
      <c r="AG55" s="12">
        <f t="shared" si="45"/>
        <v>1</v>
      </c>
      <c r="AH55" s="12">
        <f t="shared" si="46"/>
        <v>1</v>
      </c>
      <c r="AI55" s="12">
        <f t="shared" si="47"/>
        <v>1</v>
      </c>
      <c r="AJ55" s="12">
        <f t="shared" si="48"/>
        <v>1</v>
      </c>
      <c r="AK55" s="12">
        <f t="shared" si="49"/>
        <v>1</v>
      </c>
      <c r="AL55" s="12">
        <f t="shared" si="50"/>
        <v>1</v>
      </c>
      <c r="AM55" s="12">
        <f t="shared" si="24"/>
        <v>1</v>
      </c>
      <c r="AN55" s="12">
        <f t="shared" si="25"/>
        <v>1</v>
      </c>
      <c r="AO55" s="12">
        <f t="shared" si="26"/>
        <v>1</v>
      </c>
      <c r="AP55" s="12">
        <f t="shared" si="27"/>
        <v>1</v>
      </c>
      <c r="AQ55" s="12">
        <f t="shared" si="28"/>
        <v>1</v>
      </c>
      <c r="AR55" s="12">
        <f t="shared" si="29"/>
        <v>1</v>
      </c>
      <c r="AS55" s="12" cm="1">
        <f t="array" ref="AS55">IF(AND(H55&lt;&gt;"",SUMPRODUCT(--ISNUMBER(FIND({0;1;2;3;4;5;6;7;8;9},H55)))=0),1,0)</f>
        <v>1</v>
      </c>
      <c r="AT55" s="12" cm="1">
        <f t="array" ref="AT55">IF(AND(I55&lt;&gt;"",SUMPRODUCT(--ISNUMBER(FIND({0;1;2;3;4;5;6;7;8;9},I55)))=0),1,0)</f>
        <v>1</v>
      </c>
      <c r="AU55" s="12" cm="1">
        <f t="array" ref="AU55">IF(AND(J55&lt;&gt;"",SUMPRODUCT(--ISNUMBER(FIND({0;1;2;3;4;5;6;7;8;9},J55)))=0),1,0)</f>
        <v>1</v>
      </c>
      <c r="AV55" s="12">
        <f t="shared" si="51"/>
        <v>1</v>
      </c>
      <c r="AW55" s="12">
        <f t="shared" ca="1" si="30"/>
        <v>1</v>
      </c>
      <c r="AX55" s="12">
        <f t="shared" si="31"/>
        <v>1</v>
      </c>
      <c r="AY55" s="12">
        <f t="shared" si="32"/>
        <v>1</v>
      </c>
      <c r="AZ55" s="12">
        <f t="shared" si="33"/>
        <v>1</v>
      </c>
      <c r="BA55" s="12">
        <f t="shared" si="34"/>
        <v>1</v>
      </c>
      <c r="BB55" s="12">
        <f t="shared" si="35"/>
        <v>1</v>
      </c>
      <c r="BC55" s="12">
        <f t="shared" ca="1" si="36"/>
        <v>1</v>
      </c>
      <c r="BD55" s="12">
        <f t="shared" si="37"/>
        <v>1</v>
      </c>
      <c r="BE55" s="12">
        <f t="shared" si="38"/>
        <v>1</v>
      </c>
      <c r="BF55" s="12">
        <f t="shared" si="39"/>
        <v>1</v>
      </c>
      <c r="BG55" s="12">
        <f t="shared" ca="1" si="40"/>
        <v>1</v>
      </c>
    </row>
    <row r="56" spans="1:59" ht="15.75" customHeight="1" x14ac:dyDescent="0.2">
      <c r="A56" s="19">
        <f t="shared" si="4"/>
        <v>1</v>
      </c>
      <c r="B56" s="20">
        <f t="shared" si="5"/>
        <v>1</v>
      </c>
      <c r="C56" s="20">
        <f t="shared" ca="1" si="6"/>
        <v>1</v>
      </c>
      <c r="D56" s="50">
        <f t="shared" ca="1" si="41"/>
        <v>0</v>
      </c>
      <c r="E56" s="11" t="s">
        <v>361</v>
      </c>
      <c r="F56" s="11" t="s">
        <v>160</v>
      </c>
      <c r="G56" s="11">
        <v>1000000055</v>
      </c>
      <c r="H56" s="11" t="s">
        <v>182</v>
      </c>
      <c r="I56" s="11" t="s">
        <v>169</v>
      </c>
      <c r="J56" s="11" t="s">
        <v>200</v>
      </c>
      <c r="K56" s="11" t="s">
        <v>185</v>
      </c>
      <c r="L56" s="70">
        <v>29099</v>
      </c>
      <c r="M56" s="11" t="s">
        <v>362</v>
      </c>
      <c r="N56" s="11">
        <v>3734183388</v>
      </c>
      <c r="O56" s="11" t="s">
        <v>363</v>
      </c>
      <c r="P56" s="11" t="s">
        <v>165</v>
      </c>
      <c r="Q56" s="11" t="s">
        <v>156</v>
      </c>
      <c r="R56" s="68">
        <v>45185</v>
      </c>
      <c r="S56" s="11" t="s">
        <v>146</v>
      </c>
      <c r="T56" s="11" t="s">
        <v>166</v>
      </c>
      <c r="U56" s="11">
        <v>75000</v>
      </c>
      <c r="V56" s="68">
        <v>45265</v>
      </c>
      <c r="W56" s="12">
        <f t="shared" si="8"/>
        <v>1</v>
      </c>
      <c r="X56" s="12">
        <f t="shared" si="9"/>
        <v>1</v>
      </c>
      <c r="Y56" s="12">
        <f t="shared" si="10"/>
        <v>1</v>
      </c>
      <c r="Z56" s="12">
        <f t="shared" si="11"/>
        <v>1</v>
      </c>
      <c r="AA56" s="12">
        <f t="shared" si="12"/>
        <v>1</v>
      </c>
      <c r="AB56" s="12">
        <f t="shared" si="13"/>
        <v>1</v>
      </c>
      <c r="AC56" s="12">
        <f t="shared" si="14"/>
        <v>1</v>
      </c>
      <c r="AD56" s="12">
        <f t="shared" si="42"/>
        <v>1</v>
      </c>
      <c r="AE56" s="12">
        <f t="shared" si="43"/>
        <v>1</v>
      </c>
      <c r="AF56" s="12">
        <f t="shared" si="44"/>
        <v>1</v>
      </c>
      <c r="AG56" s="12">
        <f t="shared" si="45"/>
        <v>1</v>
      </c>
      <c r="AH56" s="12">
        <f t="shared" si="46"/>
        <v>1</v>
      </c>
      <c r="AI56" s="12">
        <f t="shared" si="47"/>
        <v>1</v>
      </c>
      <c r="AJ56" s="12">
        <f t="shared" si="48"/>
        <v>1</v>
      </c>
      <c r="AK56" s="12">
        <f t="shared" si="49"/>
        <v>1</v>
      </c>
      <c r="AL56" s="12">
        <f t="shared" si="50"/>
        <v>1</v>
      </c>
      <c r="AM56" s="12">
        <f t="shared" si="24"/>
        <v>1</v>
      </c>
      <c r="AN56" s="12">
        <f t="shared" si="25"/>
        <v>1</v>
      </c>
      <c r="AO56" s="12">
        <f t="shared" si="26"/>
        <v>1</v>
      </c>
      <c r="AP56" s="12">
        <f t="shared" si="27"/>
        <v>1</v>
      </c>
      <c r="AQ56" s="12">
        <f t="shared" si="28"/>
        <v>1</v>
      </c>
      <c r="AR56" s="12">
        <f t="shared" si="29"/>
        <v>1</v>
      </c>
      <c r="AS56" s="12" cm="1">
        <f t="array" ref="AS56">IF(AND(H56&lt;&gt;"",SUMPRODUCT(--ISNUMBER(FIND({0;1;2;3;4;5;6;7;8;9},H56)))=0),1,0)</f>
        <v>1</v>
      </c>
      <c r="AT56" s="12" cm="1">
        <f t="array" ref="AT56">IF(AND(I56&lt;&gt;"",SUMPRODUCT(--ISNUMBER(FIND({0;1;2;3;4;5;6;7;8;9},I56)))=0),1,0)</f>
        <v>1</v>
      </c>
      <c r="AU56" s="12" cm="1">
        <f t="array" ref="AU56">IF(AND(J56&lt;&gt;"",SUMPRODUCT(--ISNUMBER(FIND({0;1;2;3;4;5;6;7;8;9},J56)))=0),1,0)</f>
        <v>1</v>
      </c>
      <c r="AV56" s="12">
        <f t="shared" si="51"/>
        <v>1</v>
      </c>
      <c r="AW56" s="12">
        <f t="shared" ca="1" si="30"/>
        <v>1</v>
      </c>
      <c r="AX56" s="12">
        <f t="shared" si="31"/>
        <v>1</v>
      </c>
      <c r="AY56" s="12">
        <f t="shared" si="32"/>
        <v>1</v>
      </c>
      <c r="AZ56" s="12">
        <f t="shared" si="33"/>
        <v>1</v>
      </c>
      <c r="BA56" s="12">
        <f t="shared" si="34"/>
        <v>1</v>
      </c>
      <c r="BB56" s="12">
        <f t="shared" si="35"/>
        <v>1</v>
      </c>
      <c r="BC56" s="12">
        <f t="shared" ca="1" si="36"/>
        <v>1</v>
      </c>
      <c r="BD56" s="12">
        <f t="shared" si="37"/>
        <v>1</v>
      </c>
      <c r="BE56" s="12">
        <f t="shared" si="38"/>
        <v>1</v>
      </c>
      <c r="BF56" s="12">
        <f t="shared" si="39"/>
        <v>1</v>
      </c>
      <c r="BG56" s="12">
        <f t="shared" ca="1" si="40"/>
        <v>1</v>
      </c>
    </row>
    <row r="57" spans="1:59" ht="15.75" customHeight="1" x14ac:dyDescent="0.2">
      <c r="A57" s="19">
        <f t="shared" si="4"/>
        <v>1</v>
      </c>
      <c r="B57" s="20">
        <f t="shared" si="5"/>
        <v>1</v>
      </c>
      <c r="C57" s="20">
        <f t="shared" ca="1" si="6"/>
        <v>1</v>
      </c>
      <c r="D57" s="50">
        <f t="shared" ca="1" si="41"/>
        <v>0</v>
      </c>
      <c r="E57" s="11" t="s">
        <v>364</v>
      </c>
      <c r="F57" s="11" t="s">
        <v>137</v>
      </c>
      <c r="G57" s="11">
        <v>1000000056</v>
      </c>
      <c r="H57" s="11" t="s">
        <v>207</v>
      </c>
      <c r="I57" s="11" t="s">
        <v>140</v>
      </c>
      <c r="J57" s="11" t="s">
        <v>151</v>
      </c>
      <c r="K57" s="11" t="s">
        <v>141</v>
      </c>
      <c r="L57" s="70">
        <v>28355</v>
      </c>
      <c r="M57" s="11" t="s">
        <v>365</v>
      </c>
      <c r="N57" s="11">
        <v>3654423311</v>
      </c>
      <c r="O57" s="11" t="s">
        <v>366</v>
      </c>
      <c r="P57" s="11" t="s">
        <v>179</v>
      </c>
      <c r="Q57" s="11" t="s">
        <v>180</v>
      </c>
      <c r="R57" s="68">
        <v>45849</v>
      </c>
      <c r="S57" s="11" t="s">
        <v>157</v>
      </c>
      <c r="T57" s="11" t="s">
        <v>166</v>
      </c>
      <c r="U57" s="11">
        <v>85000</v>
      </c>
      <c r="V57" s="68">
        <v>45945</v>
      </c>
      <c r="W57" s="12">
        <f t="shared" si="8"/>
        <v>1</v>
      </c>
      <c r="X57" s="12">
        <f t="shared" si="9"/>
        <v>1</v>
      </c>
      <c r="Y57" s="12">
        <f t="shared" si="10"/>
        <v>1</v>
      </c>
      <c r="Z57" s="12">
        <f t="shared" si="11"/>
        <v>1</v>
      </c>
      <c r="AA57" s="12">
        <f t="shared" si="12"/>
        <v>1</v>
      </c>
      <c r="AB57" s="12">
        <f t="shared" si="13"/>
        <v>1</v>
      </c>
      <c r="AC57" s="12">
        <f t="shared" si="14"/>
        <v>1</v>
      </c>
      <c r="AD57" s="12">
        <f t="shared" si="42"/>
        <v>1</v>
      </c>
      <c r="AE57" s="12">
        <f t="shared" si="43"/>
        <v>1</v>
      </c>
      <c r="AF57" s="12">
        <f t="shared" si="44"/>
        <v>1</v>
      </c>
      <c r="AG57" s="12">
        <f t="shared" si="45"/>
        <v>1</v>
      </c>
      <c r="AH57" s="12">
        <f t="shared" si="46"/>
        <v>1</v>
      </c>
      <c r="AI57" s="12">
        <f t="shared" si="47"/>
        <v>1</v>
      </c>
      <c r="AJ57" s="12">
        <f t="shared" si="48"/>
        <v>1</v>
      </c>
      <c r="AK57" s="12">
        <f t="shared" si="49"/>
        <v>1</v>
      </c>
      <c r="AL57" s="12">
        <f t="shared" si="50"/>
        <v>1</v>
      </c>
      <c r="AM57" s="12">
        <f t="shared" si="24"/>
        <v>1</v>
      </c>
      <c r="AN57" s="12">
        <f t="shared" si="25"/>
        <v>1</v>
      </c>
      <c r="AO57" s="12">
        <f t="shared" si="26"/>
        <v>1</v>
      </c>
      <c r="AP57" s="12">
        <f t="shared" si="27"/>
        <v>1</v>
      </c>
      <c r="AQ57" s="12">
        <f t="shared" si="28"/>
        <v>1</v>
      </c>
      <c r="AR57" s="12">
        <f t="shared" si="29"/>
        <v>1</v>
      </c>
      <c r="AS57" s="12" cm="1">
        <f t="array" ref="AS57">IF(AND(H57&lt;&gt;"",SUMPRODUCT(--ISNUMBER(FIND({0;1;2;3;4;5;6;7;8;9},H57)))=0),1,0)</f>
        <v>1</v>
      </c>
      <c r="AT57" s="12" cm="1">
        <f t="array" ref="AT57">IF(AND(I57&lt;&gt;"",SUMPRODUCT(--ISNUMBER(FIND({0;1;2;3;4;5;6;7;8;9},I57)))=0),1,0)</f>
        <v>1</v>
      </c>
      <c r="AU57" s="12" cm="1">
        <f t="array" ref="AU57">IF(AND(J57&lt;&gt;"",SUMPRODUCT(--ISNUMBER(FIND({0;1;2;3;4;5;6;7;8;9},J57)))=0),1,0)</f>
        <v>1</v>
      </c>
      <c r="AV57" s="12">
        <f t="shared" si="51"/>
        <v>1</v>
      </c>
      <c r="AW57" s="12">
        <f t="shared" ca="1" si="30"/>
        <v>1</v>
      </c>
      <c r="AX57" s="12">
        <f t="shared" si="31"/>
        <v>1</v>
      </c>
      <c r="AY57" s="12">
        <f t="shared" si="32"/>
        <v>1</v>
      </c>
      <c r="AZ57" s="12">
        <f t="shared" si="33"/>
        <v>1</v>
      </c>
      <c r="BA57" s="12">
        <f t="shared" si="34"/>
        <v>1</v>
      </c>
      <c r="BB57" s="12">
        <f t="shared" si="35"/>
        <v>1</v>
      </c>
      <c r="BC57" s="12">
        <f t="shared" ca="1" si="36"/>
        <v>1</v>
      </c>
      <c r="BD57" s="12">
        <f t="shared" si="37"/>
        <v>1</v>
      </c>
      <c r="BE57" s="12">
        <f t="shared" si="38"/>
        <v>1</v>
      </c>
      <c r="BF57" s="12">
        <f t="shared" si="39"/>
        <v>1</v>
      </c>
      <c r="BG57" s="12">
        <f t="shared" ca="1" si="40"/>
        <v>1</v>
      </c>
    </row>
    <row r="58" spans="1:59" ht="15.75" customHeight="1" x14ac:dyDescent="0.2">
      <c r="A58" s="19">
        <f t="shared" si="4"/>
        <v>1</v>
      </c>
      <c r="B58" s="20">
        <f t="shared" si="5"/>
        <v>1</v>
      </c>
      <c r="C58" s="20">
        <f t="shared" ca="1" si="6"/>
        <v>1</v>
      </c>
      <c r="D58" s="50">
        <f t="shared" ca="1" si="41"/>
        <v>0</v>
      </c>
      <c r="E58" s="11" t="s">
        <v>367</v>
      </c>
      <c r="F58" s="11" t="s">
        <v>137</v>
      </c>
      <c r="G58" s="11">
        <v>1000000057</v>
      </c>
      <c r="H58" s="11" t="s">
        <v>294</v>
      </c>
      <c r="I58" s="11" t="s">
        <v>195</v>
      </c>
      <c r="J58" s="11" t="s">
        <v>139</v>
      </c>
      <c r="K58" s="11" t="s">
        <v>185</v>
      </c>
      <c r="L58" s="70">
        <v>28478</v>
      </c>
      <c r="M58" s="11" t="s">
        <v>368</v>
      </c>
      <c r="N58" s="11">
        <v>3694919900</v>
      </c>
      <c r="O58" s="11" t="s">
        <v>369</v>
      </c>
      <c r="P58" s="11" t="s">
        <v>224</v>
      </c>
      <c r="Q58" s="11" t="s">
        <v>225</v>
      </c>
      <c r="R58" s="68">
        <v>44954</v>
      </c>
      <c r="S58" s="11" t="s">
        <v>146</v>
      </c>
      <c r="T58" s="11" t="s">
        <v>166</v>
      </c>
      <c r="U58" s="11">
        <v>95000</v>
      </c>
      <c r="V58" s="68">
        <v>45283</v>
      </c>
      <c r="W58" s="12">
        <f t="shared" si="8"/>
        <v>1</v>
      </c>
      <c r="X58" s="12">
        <f t="shared" si="9"/>
        <v>1</v>
      </c>
      <c r="Y58" s="12">
        <f t="shared" si="10"/>
        <v>1</v>
      </c>
      <c r="Z58" s="12">
        <f t="shared" si="11"/>
        <v>1</v>
      </c>
      <c r="AA58" s="12">
        <f t="shared" si="12"/>
        <v>1</v>
      </c>
      <c r="AB58" s="12">
        <f t="shared" si="13"/>
        <v>1</v>
      </c>
      <c r="AC58" s="12">
        <f t="shared" si="14"/>
        <v>1</v>
      </c>
      <c r="AD58" s="12">
        <f t="shared" si="42"/>
        <v>1</v>
      </c>
      <c r="AE58" s="12">
        <f t="shared" si="43"/>
        <v>1</v>
      </c>
      <c r="AF58" s="12">
        <f t="shared" si="44"/>
        <v>1</v>
      </c>
      <c r="AG58" s="12">
        <f t="shared" si="45"/>
        <v>1</v>
      </c>
      <c r="AH58" s="12">
        <f t="shared" si="46"/>
        <v>1</v>
      </c>
      <c r="AI58" s="12">
        <f t="shared" si="47"/>
        <v>1</v>
      </c>
      <c r="AJ58" s="12">
        <f t="shared" si="48"/>
        <v>1</v>
      </c>
      <c r="AK58" s="12">
        <f t="shared" si="49"/>
        <v>1</v>
      </c>
      <c r="AL58" s="12">
        <f t="shared" si="50"/>
        <v>1</v>
      </c>
      <c r="AM58" s="12">
        <f t="shared" si="24"/>
        <v>1</v>
      </c>
      <c r="AN58" s="12">
        <f t="shared" si="25"/>
        <v>1</v>
      </c>
      <c r="AO58" s="12">
        <f t="shared" si="26"/>
        <v>1</v>
      </c>
      <c r="AP58" s="12">
        <f t="shared" si="27"/>
        <v>1</v>
      </c>
      <c r="AQ58" s="12">
        <f t="shared" si="28"/>
        <v>1</v>
      </c>
      <c r="AR58" s="12">
        <f t="shared" si="29"/>
        <v>1</v>
      </c>
      <c r="AS58" s="12" cm="1">
        <f t="array" ref="AS58">IF(AND(H58&lt;&gt;"",SUMPRODUCT(--ISNUMBER(FIND({0;1;2;3;4;5;6;7;8;9},H58)))=0),1,0)</f>
        <v>1</v>
      </c>
      <c r="AT58" s="12" cm="1">
        <f t="array" ref="AT58">IF(AND(I58&lt;&gt;"",SUMPRODUCT(--ISNUMBER(FIND({0;1;2;3;4;5;6;7;8;9},I58)))=0),1,0)</f>
        <v>1</v>
      </c>
      <c r="AU58" s="12" cm="1">
        <f t="array" ref="AU58">IF(AND(J58&lt;&gt;"",SUMPRODUCT(--ISNUMBER(FIND({0;1;2;3;4;5;6;7;8;9},J58)))=0),1,0)</f>
        <v>1</v>
      </c>
      <c r="AV58" s="12">
        <f t="shared" si="51"/>
        <v>1</v>
      </c>
      <c r="AW58" s="12">
        <f t="shared" ca="1" si="30"/>
        <v>1</v>
      </c>
      <c r="AX58" s="12">
        <f t="shared" si="31"/>
        <v>1</v>
      </c>
      <c r="AY58" s="12">
        <f t="shared" si="32"/>
        <v>1</v>
      </c>
      <c r="AZ58" s="12">
        <f t="shared" si="33"/>
        <v>1</v>
      </c>
      <c r="BA58" s="12">
        <f t="shared" si="34"/>
        <v>1</v>
      </c>
      <c r="BB58" s="12">
        <f t="shared" si="35"/>
        <v>1</v>
      </c>
      <c r="BC58" s="12">
        <f t="shared" ca="1" si="36"/>
        <v>1</v>
      </c>
      <c r="BD58" s="12">
        <f t="shared" si="37"/>
        <v>1</v>
      </c>
      <c r="BE58" s="12">
        <f t="shared" si="38"/>
        <v>1</v>
      </c>
      <c r="BF58" s="12">
        <f t="shared" si="39"/>
        <v>1</v>
      </c>
      <c r="BG58" s="12">
        <f t="shared" ca="1" si="40"/>
        <v>1</v>
      </c>
    </row>
    <row r="59" spans="1:59" ht="15.75" customHeight="1" x14ac:dyDescent="0.2">
      <c r="A59" s="19">
        <f t="shared" si="4"/>
        <v>1</v>
      </c>
      <c r="B59" s="20">
        <f t="shared" si="5"/>
        <v>1</v>
      </c>
      <c r="C59" s="20">
        <f t="shared" ca="1" si="6"/>
        <v>1</v>
      </c>
      <c r="D59" s="50">
        <f t="shared" ca="1" si="41"/>
        <v>0</v>
      </c>
      <c r="E59" s="11" t="s">
        <v>370</v>
      </c>
      <c r="F59" s="11" t="s">
        <v>137</v>
      </c>
      <c r="G59" s="11">
        <v>1000000058</v>
      </c>
      <c r="H59" s="11" t="s">
        <v>176</v>
      </c>
      <c r="I59" s="11" t="s">
        <v>260</v>
      </c>
      <c r="J59" s="11" t="s">
        <v>195</v>
      </c>
      <c r="K59" s="11" t="s">
        <v>141</v>
      </c>
      <c r="L59" s="70">
        <v>33636</v>
      </c>
      <c r="M59" s="11" t="s">
        <v>371</v>
      </c>
      <c r="N59" s="11">
        <v>3342291535</v>
      </c>
      <c r="O59" s="11" t="s">
        <v>372</v>
      </c>
      <c r="P59" s="11" t="s">
        <v>155</v>
      </c>
      <c r="Q59" s="11" t="s">
        <v>156</v>
      </c>
      <c r="R59" s="68">
        <v>45509</v>
      </c>
      <c r="S59" s="11" t="s">
        <v>157</v>
      </c>
      <c r="T59" s="11" t="s">
        <v>147</v>
      </c>
      <c r="U59" s="11">
        <v>95000</v>
      </c>
      <c r="V59" s="68">
        <v>45781</v>
      </c>
      <c r="W59" s="12">
        <f t="shared" si="8"/>
        <v>1</v>
      </c>
      <c r="X59" s="12">
        <f t="shared" si="9"/>
        <v>1</v>
      </c>
      <c r="Y59" s="12">
        <f t="shared" si="10"/>
        <v>1</v>
      </c>
      <c r="Z59" s="12">
        <f t="shared" si="11"/>
        <v>1</v>
      </c>
      <c r="AA59" s="12">
        <f t="shared" si="12"/>
        <v>1</v>
      </c>
      <c r="AB59" s="12">
        <f t="shared" si="13"/>
        <v>1</v>
      </c>
      <c r="AC59" s="12">
        <f t="shared" si="14"/>
        <v>1</v>
      </c>
      <c r="AD59" s="12">
        <f t="shared" si="42"/>
        <v>1</v>
      </c>
      <c r="AE59" s="12">
        <f t="shared" si="43"/>
        <v>1</v>
      </c>
      <c r="AF59" s="12">
        <f t="shared" si="44"/>
        <v>1</v>
      </c>
      <c r="AG59" s="12">
        <f t="shared" si="45"/>
        <v>1</v>
      </c>
      <c r="AH59" s="12">
        <f t="shared" si="46"/>
        <v>1</v>
      </c>
      <c r="AI59" s="12">
        <f t="shared" si="47"/>
        <v>1</v>
      </c>
      <c r="AJ59" s="12">
        <f t="shared" si="48"/>
        <v>1</v>
      </c>
      <c r="AK59" s="12">
        <f t="shared" si="49"/>
        <v>1</v>
      </c>
      <c r="AL59" s="12">
        <f t="shared" si="50"/>
        <v>1</v>
      </c>
      <c r="AM59" s="12">
        <f t="shared" si="24"/>
        <v>1</v>
      </c>
      <c r="AN59" s="12">
        <f t="shared" si="25"/>
        <v>1</v>
      </c>
      <c r="AO59" s="12">
        <f t="shared" si="26"/>
        <v>1</v>
      </c>
      <c r="AP59" s="12">
        <f t="shared" si="27"/>
        <v>1</v>
      </c>
      <c r="AQ59" s="12">
        <f t="shared" si="28"/>
        <v>1</v>
      </c>
      <c r="AR59" s="12">
        <f t="shared" si="29"/>
        <v>1</v>
      </c>
      <c r="AS59" s="12" cm="1">
        <f t="array" ref="AS59">IF(AND(H59&lt;&gt;"",SUMPRODUCT(--ISNUMBER(FIND({0;1;2;3;4;5;6;7;8;9},H59)))=0),1,0)</f>
        <v>1</v>
      </c>
      <c r="AT59" s="12" cm="1">
        <f t="array" ref="AT59">IF(AND(I59&lt;&gt;"",SUMPRODUCT(--ISNUMBER(FIND({0;1;2;3;4;5;6;7;8;9},I59)))=0),1,0)</f>
        <v>1</v>
      </c>
      <c r="AU59" s="12" cm="1">
        <f t="array" ref="AU59">IF(AND(J59&lt;&gt;"",SUMPRODUCT(--ISNUMBER(FIND({0;1;2;3;4;5;6;7;8;9},J59)))=0),1,0)</f>
        <v>1</v>
      </c>
      <c r="AV59" s="12">
        <f t="shared" si="51"/>
        <v>1</v>
      </c>
      <c r="AW59" s="12">
        <f t="shared" ca="1" si="30"/>
        <v>1</v>
      </c>
      <c r="AX59" s="12">
        <f t="shared" si="31"/>
        <v>1</v>
      </c>
      <c r="AY59" s="12">
        <f t="shared" si="32"/>
        <v>1</v>
      </c>
      <c r="AZ59" s="12">
        <f t="shared" si="33"/>
        <v>1</v>
      </c>
      <c r="BA59" s="12">
        <f t="shared" si="34"/>
        <v>1</v>
      </c>
      <c r="BB59" s="12">
        <f t="shared" si="35"/>
        <v>1</v>
      </c>
      <c r="BC59" s="12">
        <f t="shared" ca="1" si="36"/>
        <v>1</v>
      </c>
      <c r="BD59" s="12">
        <f t="shared" si="37"/>
        <v>1</v>
      </c>
      <c r="BE59" s="12">
        <f t="shared" si="38"/>
        <v>1</v>
      </c>
      <c r="BF59" s="12">
        <f t="shared" si="39"/>
        <v>1</v>
      </c>
      <c r="BG59" s="12">
        <f t="shared" ca="1" si="40"/>
        <v>1</v>
      </c>
    </row>
    <row r="60" spans="1:59" ht="15.75" customHeight="1" x14ac:dyDescent="0.2">
      <c r="A60" s="19">
        <f t="shared" si="4"/>
        <v>1</v>
      </c>
      <c r="B60" s="20">
        <f t="shared" si="5"/>
        <v>1</v>
      </c>
      <c r="C60" s="20">
        <f t="shared" ca="1" si="6"/>
        <v>1</v>
      </c>
      <c r="D60" s="50">
        <f t="shared" ca="1" si="41"/>
        <v>0</v>
      </c>
      <c r="E60" s="11" t="s">
        <v>373</v>
      </c>
      <c r="F60" s="11" t="s">
        <v>149</v>
      </c>
      <c r="G60" s="11">
        <v>1000000059</v>
      </c>
      <c r="H60" s="11" t="s">
        <v>220</v>
      </c>
      <c r="I60" s="11" t="s">
        <v>194</v>
      </c>
      <c r="J60" s="11" t="s">
        <v>267</v>
      </c>
      <c r="K60" s="11" t="s">
        <v>141</v>
      </c>
      <c r="L60" s="70">
        <v>33284</v>
      </c>
      <c r="M60" s="11" t="s">
        <v>374</v>
      </c>
      <c r="N60" s="11">
        <v>3166992182</v>
      </c>
      <c r="O60" s="11" t="s">
        <v>375</v>
      </c>
      <c r="P60" s="11" t="s">
        <v>179</v>
      </c>
      <c r="Q60" s="11" t="s">
        <v>180</v>
      </c>
      <c r="R60" s="68">
        <v>45011</v>
      </c>
      <c r="S60" s="11" t="s">
        <v>146</v>
      </c>
      <c r="T60" s="11" t="s">
        <v>158</v>
      </c>
      <c r="U60" s="11">
        <v>75000</v>
      </c>
      <c r="V60" s="68">
        <v>45307</v>
      </c>
      <c r="W60" s="12">
        <f t="shared" si="8"/>
        <v>1</v>
      </c>
      <c r="X60" s="12">
        <f t="shared" si="9"/>
        <v>1</v>
      </c>
      <c r="Y60" s="12">
        <f t="shared" si="10"/>
        <v>1</v>
      </c>
      <c r="Z60" s="12">
        <f t="shared" si="11"/>
        <v>1</v>
      </c>
      <c r="AA60" s="12">
        <f t="shared" si="12"/>
        <v>1</v>
      </c>
      <c r="AB60" s="12">
        <f t="shared" si="13"/>
        <v>1</v>
      </c>
      <c r="AC60" s="12">
        <f t="shared" si="14"/>
        <v>1</v>
      </c>
      <c r="AD60" s="12">
        <f t="shared" si="42"/>
        <v>1</v>
      </c>
      <c r="AE60" s="12">
        <f t="shared" si="43"/>
        <v>1</v>
      </c>
      <c r="AF60" s="12">
        <f t="shared" si="44"/>
        <v>1</v>
      </c>
      <c r="AG60" s="12">
        <f t="shared" si="45"/>
        <v>1</v>
      </c>
      <c r="AH60" s="12">
        <f t="shared" si="46"/>
        <v>1</v>
      </c>
      <c r="AI60" s="12">
        <f t="shared" si="47"/>
        <v>1</v>
      </c>
      <c r="AJ60" s="12">
        <f t="shared" si="48"/>
        <v>1</v>
      </c>
      <c r="AK60" s="12">
        <f t="shared" si="49"/>
        <v>1</v>
      </c>
      <c r="AL60" s="12">
        <f t="shared" si="50"/>
        <v>1</v>
      </c>
      <c r="AM60" s="12">
        <f t="shared" si="24"/>
        <v>1</v>
      </c>
      <c r="AN60" s="12">
        <f t="shared" si="25"/>
        <v>1</v>
      </c>
      <c r="AO60" s="12">
        <f t="shared" si="26"/>
        <v>1</v>
      </c>
      <c r="AP60" s="12">
        <f t="shared" si="27"/>
        <v>1</v>
      </c>
      <c r="AQ60" s="12">
        <f t="shared" si="28"/>
        <v>1</v>
      </c>
      <c r="AR60" s="12">
        <f t="shared" si="29"/>
        <v>1</v>
      </c>
      <c r="AS60" s="12" cm="1">
        <f t="array" ref="AS60">IF(AND(H60&lt;&gt;"",SUMPRODUCT(--ISNUMBER(FIND({0;1;2;3;4;5;6;7;8;9},H60)))=0),1,0)</f>
        <v>1</v>
      </c>
      <c r="AT60" s="12" cm="1">
        <f t="array" ref="AT60">IF(AND(I60&lt;&gt;"",SUMPRODUCT(--ISNUMBER(FIND({0;1;2;3;4;5;6;7;8;9},I60)))=0),1,0)</f>
        <v>1</v>
      </c>
      <c r="AU60" s="12" cm="1">
        <f t="array" ref="AU60">IF(AND(J60&lt;&gt;"",SUMPRODUCT(--ISNUMBER(FIND({0;1;2;3;4;5;6;7;8;9},J60)))=0),1,0)</f>
        <v>1</v>
      </c>
      <c r="AV60" s="12">
        <f t="shared" si="51"/>
        <v>1</v>
      </c>
      <c r="AW60" s="12">
        <f t="shared" ca="1" si="30"/>
        <v>1</v>
      </c>
      <c r="AX60" s="12">
        <f t="shared" si="31"/>
        <v>1</v>
      </c>
      <c r="AY60" s="12">
        <f t="shared" si="32"/>
        <v>1</v>
      </c>
      <c r="AZ60" s="12">
        <f t="shared" si="33"/>
        <v>1</v>
      </c>
      <c r="BA60" s="12">
        <f t="shared" si="34"/>
        <v>1</v>
      </c>
      <c r="BB60" s="12">
        <f t="shared" si="35"/>
        <v>1</v>
      </c>
      <c r="BC60" s="12">
        <f t="shared" ca="1" si="36"/>
        <v>1</v>
      </c>
      <c r="BD60" s="12">
        <f t="shared" si="37"/>
        <v>1</v>
      </c>
      <c r="BE60" s="12">
        <f t="shared" si="38"/>
        <v>1</v>
      </c>
      <c r="BF60" s="12">
        <f t="shared" si="39"/>
        <v>1</v>
      </c>
      <c r="BG60" s="12">
        <f t="shared" ca="1" si="40"/>
        <v>1</v>
      </c>
    </row>
    <row r="61" spans="1:59" ht="15.75" customHeight="1" x14ac:dyDescent="0.2">
      <c r="A61" s="19">
        <f t="shared" si="4"/>
        <v>1</v>
      </c>
      <c r="B61" s="20">
        <f t="shared" si="5"/>
        <v>1</v>
      </c>
      <c r="C61" s="20">
        <f t="shared" ca="1" si="6"/>
        <v>1</v>
      </c>
      <c r="D61" s="50">
        <f t="shared" ca="1" si="41"/>
        <v>0</v>
      </c>
      <c r="E61" s="11" t="s">
        <v>376</v>
      </c>
      <c r="F61" s="11" t="s">
        <v>160</v>
      </c>
      <c r="G61" s="11">
        <v>1000000060</v>
      </c>
      <c r="H61" s="11" t="s">
        <v>138</v>
      </c>
      <c r="I61" s="11" t="s">
        <v>227</v>
      </c>
      <c r="J61" s="11" t="s">
        <v>152</v>
      </c>
      <c r="K61" s="11" t="s">
        <v>141</v>
      </c>
      <c r="L61" s="70">
        <v>29500</v>
      </c>
      <c r="M61" s="11" t="s">
        <v>377</v>
      </c>
      <c r="N61" s="11">
        <v>3841275639</v>
      </c>
      <c r="O61" s="11" t="s">
        <v>378</v>
      </c>
      <c r="P61" s="11" t="s">
        <v>165</v>
      </c>
      <c r="Q61" s="11" t="s">
        <v>156</v>
      </c>
      <c r="R61" s="68">
        <v>45584</v>
      </c>
      <c r="S61" s="11" t="s">
        <v>174</v>
      </c>
      <c r="T61" s="11" t="s">
        <v>158</v>
      </c>
      <c r="U61" s="11">
        <v>95000</v>
      </c>
      <c r="V61" s="68">
        <v>45910</v>
      </c>
      <c r="W61" s="12">
        <f t="shared" si="8"/>
        <v>1</v>
      </c>
      <c r="X61" s="12">
        <f t="shared" si="9"/>
        <v>1</v>
      </c>
      <c r="Y61" s="12">
        <f t="shared" si="10"/>
        <v>1</v>
      </c>
      <c r="Z61" s="12">
        <f t="shared" si="11"/>
        <v>1</v>
      </c>
      <c r="AA61" s="12">
        <f t="shared" si="12"/>
        <v>1</v>
      </c>
      <c r="AB61" s="12">
        <f t="shared" si="13"/>
        <v>1</v>
      </c>
      <c r="AC61" s="12">
        <f t="shared" si="14"/>
        <v>1</v>
      </c>
      <c r="AD61" s="12">
        <f t="shared" si="42"/>
        <v>1</v>
      </c>
      <c r="AE61" s="12">
        <f t="shared" si="43"/>
        <v>1</v>
      </c>
      <c r="AF61" s="12">
        <f t="shared" si="44"/>
        <v>1</v>
      </c>
      <c r="AG61" s="12">
        <f t="shared" si="45"/>
        <v>1</v>
      </c>
      <c r="AH61" s="12">
        <f t="shared" si="46"/>
        <v>1</v>
      </c>
      <c r="AI61" s="12">
        <f t="shared" si="47"/>
        <v>1</v>
      </c>
      <c r="AJ61" s="12">
        <f t="shared" si="48"/>
        <v>1</v>
      </c>
      <c r="AK61" s="12">
        <f t="shared" si="49"/>
        <v>1</v>
      </c>
      <c r="AL61" s="12">
        <f t="shared" si="50"/>
        <v>1</v>
      </c>
      <c r="AM61" s="12">
        <f t="shared" si="24"/>
        <v>1</v>
      </c>
      <c r="AN61" s="12">
        <f t="shared" si="25"/>
        <v>1</v>
      </c>
      <c r="AO61" s="12">
        <f t="shared" si="26"/>
        <v>1</v>
      </c>
      <c r="AP61" s="12">
        <f t="shared" si="27"/>
        <v>1</v>
      </c>
      <c r="AQ61" s="12">
        <f t="shared" si="28"/>
        <v>1</v>
      </c>
      <c r="AR61" s="12">
        <f t="shared" si="29"/>
        <v>1</v>
      </c>
      <c r="AS61" s="12" cm="1">
        <f t="array" ref="AS61">IF(AND(H61&lt;&gt;"",SUMPRODUCT(--ISNUMBER(FIND({0;1;2;3;4;5;6;7;8;9},H61)))=0),1,0)</f>
        <v>1</v>
      </c>
      <c r="AT61" s="12" cm="1">
        <f t="array" ref="AT61">IF(AND(I61&lt;&gt;"",SUMPRODUCT(--ISNUMBER(FIND({0;1;2;3;4;5;6;7;8;9},I61)))=0),1,0)</f>
        <v>1</v>
      </c>
      <c r="AU61" s="12" cm="1">
        <f t="array" ref="AU61">IF(AND(J61&lt;&gt;"",SUMPRODUCT(--ISNUMBER(FIND({0;1;2;3;4;5;6;7;8;9},J61)))=0),1,0)</f>
        <v>1</v>
      </c>
      <c r="AV61" s="12">
        <f t="shared" si="51"/>
        <v>1</v>
      </c>
      <c r="AW61" s="12">
        <f t="shared" ca="1" si="30"/>
        <v>1</v>
      </c>
      <c r="AX61" s="12">
        <f t="shared" si="31"/>
        <v>1</v>
      </c>
      <c r="AY61" s="12">
        <f t="shared" si="32"/>
        <v>1</v>
      </c>
      <c r="AZ61" s="12">
        <f t="shared" si="33"/>
        <v>1</v>
      </c>
      <c r="BA61" s="12">
        <f t="shared" si="34"/>
        <v>1</v>
      </c>
      <c r="BB61" s="12">
        <f t="shared" si="35"/>
        <v>1</v>
      </c>
      <c r="BC61" s="12">
        <f t="shared" ca="1" si="36"/>
        <v>1</v>
      </c>
      <c r="BD61" s="12">
        <f t="shared" si="37"/>
        <v>1</v>
      </c>
      <c r="BE61" s="12">
        <f t="shared" si="38"/>
        <v>1</v>
      </c>
      <c r="BF61" s="12">
        <f t="shared" si="39"/>
        <v>1</v>
      </c>
      <c r="BG61" s="12">
        <f t="shared" ca="1" si="40"/>
        <v>1</v>
      </c>
    </row>
    <row r="62" spans="1:59" ht="15.75" customHeight="1" x14ac:dyDescent="0.2">
      <c r="A62" s="19">
        <f t="shared" si="4"/>
        <v>1</v>
      </c>
      <c r="B62" s="20">
        <f t="shared" si="5"/>
        <v>1</v>
      </c>
      <c r="C62" s="20">
        <f t="shared" ca="1" si="6"/>
        <v>1</v>
      </c>
      <c r="D62" s="50">
        <f t="shared" ca="1" si="41"/>
        <v>0</v>
      </c>
      <c r="E62" s="11" t="s">
        <v>379</v>
      </c>
      <c r="F62" s="11" t="s">
        <v>149</v>
      </c>
      <c r="G62" s="11">
        <v>1000000061</v>
      </c>
      <c r="H62" s="11" t="s">
        <v>182</v>
      </c>
      <c r="I62" s="11" t="s">
        <v>200</v>
      </c>
      <c r="J62" s="11" t="s">
        <v>151</v>
      </c>
      <c r="K62" s="11" t="s">
        <v>185</v>
      </c>
      <c r="L62" s="70">
        <v>24086</v>
      </c>
      <c r="M62" s="11" t="s">
        <v>380</v>
      </c>
      <c r="N62" s="11">
        <v>3174830058</v>
      </c>
      <c r="O62" s="11" t="s">
        <v>381</v>
      </c>
      <c r="P62" s="11" t="s">
        <v>217</v>
      </c>
      <c r="Q62" s="11" t="s">
        <v>218</v>
      </c>
      <c r="R62" s="68">
        <v>45496</v>
      </c>
      <c r="S62" s="11" t="s">
        <v>157</v>
      </c>
      <c r="T62" s="11" t="s">
        <v>166</v>
      </c>
      <c r="U62" s="11">
        <v>90000</v>
      </c>
      <c r="V62" s="68">
        <v>45625</v>
      </c>
      <c r="W62" s="12">
        <f t="shared" si="8"/>
        <v>1</v>
      </c>
      <c r="X62" s="12">
        <f t="shared" si="9"/>
        <v>1</v>
      </c>
      <c r="Y62" s="12">
        <f t="shared" si="10"/>
        <v>1</v>
      </c>
      <c r="Z62" s="12">
        <f t="shared" si="11"/>
        <v>1</v>
      </c>
      <c r="AA62" s="12">
        <f t="shared" si="12"/>
        <v>1</v>
      </c>
      <c r="AB62" s="12">
        <f t="shared" si="13"/>
        <v>1</v>
      </c>
      <c r="AC62" s="12">
        <f t="shared" si="14"/>
        <v>1</v>
      </c>
      <c r="AD62" s="12">
        <f t="shared" si="42"/>
        <v>1</v>
      </c>
      <c r="AE62" s="12">
        <f t="shared" si="43"/>
        <v>1</v>
      </c>
      <c r="AF62" s="12">
        <f t="shared" si="44"/>
        <v>1</v>
      </c>
      <c r="AG62" s="12">
        <f t="shared" si="45"/>
        <v>1</v>
      </c>
      <c r="AH62" s="12">
        <f t="shared" si="46"/>
        <v>1</v>
      </c>
      <c r="AI62" s="12">
        <f t="shared" si="47"/>
        <v>1</v>
      </c>
      <c r="AJ62" s="12">
        <f t="shared" si="48"/>
        <v>1</v>
      </c>
      <c r="AK62" s="12">
        <f t="shared" si="49"/>
        <v>1</v>
      </c>
      <c r="AL62" s="12">
        <f t="shared" si="50"/>
        <v>1</v>
      </c>
      <c r="AM62" s="12">
        <f t="shared" si="24"/>
        <v>1</v>
      </c>
      <c r="AN62" s="12">
        <f t="shared" si="25"/>
        <v>1</v>
      </c>
      <c r="AO62" s="12">
        <f t="shared" si="26"/>
        <v>1</v>
      </c>
      <c r="AP62" s="12">
        <f t="shared" si="27"/>
        <v>1</v>
      </c>
      <c r="AQ62" s="12">
        <f t="shared" si="28"/>
        <v>1</v>
      </c>
      <c r="AR62" s="12">
        <f t="shared" si="29"/>
        <v>1</v>
      </c>
      <c r="AS62" s="12" cm="1">
        <f t="array" ref="AS62">IF(AND(H62&lt;&gt;"",SUMPRODUCT(--ISNUMBER(FIND({0;1;2;3;4;5;6;7;8;9},H62)))=0),1,0)</f>
        <v>1</v>
      </c>
      <c r="AT62" s="12" cm="1">
        <f t="array" ref="AT62">IF(AND(I62&lt;&gt;"",SUMPRODUCT(--ISNUMBER(FIND({0;1;2;3;4;5;6;7;8;9},I62)))=0),1,0)</f>
        <v>1</v>
      </c>
      <c r="AU62" s="12" cm="1">
        <f t="array" ref="AU62">IF(AND(J62&lt;&gt;"",SUMPRODUCT(--ISNUMBER(FIND({0;1;2;3;4;5;6;7;8;9},J62)))=0),1,0)</f>
        <v>1</v>
      </c>
      <c r="AV62" s="12">
        <f t="shared" si="51"/>
        <v>1</v>
      </c>
      <c r="AW62" s="12">
        <f t="shared" ca="1" si="30"/>
        <v>1</v>
      </c>
      <c r="AX62" s="12">
        <f t="shared" si="31"/>
        <v>1</v>
      </c>
      <c r="AY62" s="12">
        <f t="shared" si="32"/>
        <v>1</v>
      </c>
      <c r="AZ62" s="12">
        <f t="shared" si="33"/>
        <v>1</v>
      </c>
      <c r="BA62" s="12">
        <f t="shared" si="34"/>
        <v>1</v>
      </c>
      <c r="BB62" s="12">
        <f t="shared" si="35"/>
        <v>1</v>
      </c>
      <c r="BC62" s="12">
        <f t="shared" ca="1" si="36"/>
        <v>1</v>
      </c>
      <c r="BD62" s="12">
        <f t="shared" si="37"/>
        <v>1</v>
      </c>
      <c r="BE62" s="12">
        <f t="shared" si="38"/>
        <v>1</v>
      </c>
      <c r="BF62" s="12">
        <f t="shared" si="39"/>
        <v>1</v>
      </c>
      <c r="BG62" s="12">
        <f t="shared" ca="1" si="40"/>
        <v>1</v>
      </c>
    </row>
    <row r="63" spans="1:59" ht="15.75" customHeight="1" x14ac:dyDescent="0.2">
      <c r="A63" s="19">
        <f t="shared" si="4"/>
        <v>1</v>
      </c>
      <c r="B63" s="20">
        <f t="shared" si="5"/>
        <v>1</v>
      </c>
      <c r="C63" s="20">
        <f t="shared" ca="1" si="6"/>
        <v>1</v>
      </c>
      <c r="D63" s="50">
        <f t="shared" ca="1" si="41"/>
        <v>0</v>
      </c>
      <c r="E63" s="11" t="s">
        <v>382</v>
      </c>
      <c r="F63" s="11" t="s">
        <v>160</v>
      </c>
      <c r="G63" s="11">
        <v>1000000062</v>
      </c>
      <c r="H63" s="11" t="s">
        <v>199</v>
      </c>
      <c r="I63" s="11" t="s">
        <v>200</v>
      </c>
      <c r="J63" s="11" t="s">
        <v>260</v>
      </c>
      <c r="K63" s="11" t="s">
        <v>185</v>
      </c>
      <c r="L63" s="70">
        <v>28654</v>
      </c>
      <c r="M63" s="11" t="s">
        <v>383</v>
      </c>
      <c r="N63" s="11">
        <v>3229322088</v>
      </c>
      <c r="O63" s="11" t="s">
        <v>384</v>
      </c>
      <c r="P63" s="11" t="s">
        <v>155</v>
      </c>
      <c r="Q63" s="11" t="s">
        <v>156</v>
      </c>
      <c r="R63" s="68">
        <v>45697</v>
      </c>
      <c r="S63" s="11" t="s">
        <v>157</v>
      </c>
      <c r="T63" s="11" t="s">
        <v>166</v>
      </c>
      <c r="U63" s="11">
        <v>85000</v>
      </c>
      <c r="V63" s="68">
        <v>45856</v>
      </c>
      <c r="W63" s="12">
        <f t="shared" si="8"/>
        <v>1</v>
      </c>
      <c r="X63" s="12">
        <f t="shared" si="9"/>
        <v>1</v>
      </c>
      <c r="Y63" s="12">
        <f t="shared" si="10"/>
        <v>1</v>
      </c>
      <c r="Z63" s="12">
        <f t="shared" si="11"/>
        <v>1</v>
      </c>
      <c r="AA63" s="12">
        <f t="shared" si="12"/>
        <v>1</v>
      </c>
      <c r="AB63" s="12">
        <f t="shared" si="13"/>
        <v>1</v>
      </c>
      <c r="AC63" s="12">
        <f t="shared" si="14"/>
        <v>1</v>
      </c>
      <c r="AD63" s="12">
        <f t="shared" si="42"/>
        <v>1</v>
      </c>
      <c r="AE63" s="12">
        <f t="shared" si="43"/>
        <v>1</v>
      </c>
      <c r="AF63" s="12">
        <f t="shared" si="44"/>
        <v>1</v>
      </c>
      <c r="AG63" s="12">
        <f t="shared" si="45"/>
        <v>1</v>
      </c>
      <c r="AH63" s="12">
        <f t="shared" si="46"/>
        <v>1</v>
      </c>
      <c r="AI63" s="12">
        <f t="shared" si="47"/>
        <v>1</v>
      </c>
      <c r="AJ63" s="12">
        <f t="shared" si="48"/>
        <v>1</v>
      </c>
      <c r="AK63" s="12">
        <f t="shared" si="49"/>
        <v>1</v>
      </c>
      <c r="AL63" s="12">
        <f t="shared" si="50"/>
        <v>1</v>
      </c>
      <c r="AM63" s="12">
        <f t="shared" si="24"/>
        <v>1</v>
      </c>
      <c r="AN63" s="12">
        <f t="shared" si="25"/>
        <v>1</v>
      </c>
      <c r="AO63" s="12">
        <f t="shared" si="26"/>
        <v>1</v>
      </c>
      <c r="AP63" s="12">
        <f t="shared" si="27"/>
        <v>1</v>
      </c>
      <c r="AQ63" s="12">
        <f t="shared" si="28"/>
        <v>1</v>
      </c>
      <c r="AR63" s="12">
        <f t="shared" si="29"/>
        <v>1</v>
      </c>
      <c r="AS63" s="12" cm="1">
        <f t="array" ref="AS63">IF(AND(H63&lt;&gt;"",SUMPRODUCT(--ISNUMBER(FIND({0;1;2;3;4;5;6;7;8;9},H63)))=0),1,0)</f>
        <v>1</v>
      </c>
      <c r="AT63" s="12" cm="1">
        <f t="array" ref="AT63">IF(AND(I63&lt;&gt;"",SUMPRODUCT(--ISNUMBER(FIND({0;1;2;3;4;5;6;7;8;9},I63)))=0),1,0)</f>
        <v>1</v>
      </c>
      <c r="AU63" s="12" cm="1">
        <f t="array" ref="AU63">IF(AND(J63&lt;&gt;"",SUMPRODUCT(--ISNUMBER(FIND({0;1;2;3;4;5;6;7;8;9},J63)))=0),1,0)</f>
        <v>1</v>
      </c>
      <c r="AV63" s="12">
        <f t="shared" si="51"/>
        <v>1</v>
      </c>
      <c r="AW63" s="12">
        <f t="shared" ca="1" si="30"/>
        <v>1</v>
      </c>
      <c r="AX63" s="12">
        <f t="shared" si="31"/>
        <v>1</v>
      </c>
      <c r="AY63" s="12">
        <f t="shared" si="32"/>
        <v>1</v>
      </c>
      <c r="AZ63" s="12">
        <f t="shared" si="33"/>
        <v>1</v>
      </c>
      <c r="BA63" s="12">
        <f t="shared" si="34"/>
        <v>1</v>
      </c>
      <c r="BB63" s="12">
        <f t="shared" si="35"/>
        <v>1</v>
      </c>
      <c r="BC63" s="12">
        <f t="shared" ca="1" si="36"/>
        <v>1</v>
      </c>
      <c r="BD63" s="12">
        <f t="shared" si="37"/>
        <v>1</v>
      </c>
      <c r="BE63" s="12">
        <f t="shared" si="38"/>
        <v>1</v>
      </c>
      <c r="BF63" s="12">
        <f t="shared" si="39"/>
        <v>1</v>
      </c>
      <c r="BG63" s="12">
        <f t="shared" ca="1" si="40"/>
        <v>1</v>
      </c>
    </row>
    <row r="64" spans="1:59" ht="15.75" customHeight="1" x14ac:dyDescent="0.2">
      <c r="A64" s="19">
        <f t="shared" si="4"/>
        <v>1</v>
      </c>
      <c r="B64" s="20">
        <f t="shared" si="5"/>
        <v>1</v>
      </c>
      <c r="C64" s="20">
        <f t="shared" ca="1" si="6"/>
        <v>1</v>
      </c>
      <c r="D64" s="50">
        <f t="shared" ca="1" si="41"/>
        <v>0</v>
      </c>
      <c r="E64" s="11" t="s">
        <v>385</v>
      </c>
      <c r="F64" s="11" t="s">
        <v>160</v>
      </c>
      <c r="G64" s="11">
        <v>1000000063</v>
      </c>
      <c r="H64" s="11" t="s">
        <v>386</v>
      </c>
      <c r="I64" s="11" t="s">
        <v>151</v>
      </c>
      <c r="J64" s="11" t="s">
        <v>140</v>
      </c>
      <c r="K64" s="11" t="s">
        <v>141</v>
      </c>
      <c r="L64" s="70">
        <v>34170</v>
      </c>
      <c r="M64" s="11" t="s">
        <v>387</v>
      </c>
      <c r="N64" s="11">
        <v>3129459811</v>
      </c>
      <c r="O64" s="11" t="s">
        <v>388</v>
      </c>
      <c r="P64" s="11" t="s">
        <v>155</v>
      </c>
      <c r="Q64" s="11" t="s">
        <v>156</v>
      </c>
      <c r="R64" s="68">
        <v>45504</v>
      </c>
      <c r="S64" s="11" t="s">
        <v>174</v>
      </c>
      <c r="T64" s="11" t="s">
        <v>158</v>
      </c>
      <c r="U64" s="11">
        <v>90000</v>
      </c>
      <c r="V64" s="68">
        <v>45535</v>
      </c>
      <c r="W64" s="12">
        <f t="shared" si="8"/>
        <v>1</v>
      </c>
      <c r="X64" s="12">
        <f t="shared" si="9"/>
        <v>1</v>
      </c>
      <c r="Y64" s="12">
        <f t="shared" si="10"/>
        <v>1</v>
      </c>
      <c r="Z64" s="12">
        <f t="shared" si="11"/>
        <v>1</v>
      </c>
      <c r="AA64" s="12">
        <f t="shared" si="12"/>
        <v>1</v>
      </c>
      <c r="AB64" s="12">
        <f t="shared" si="13"/>
        <v>1</v>
      </c>
      <c r="AC64" s="12">
        <f t="shared" si="14"/>
        <v>1</v>
      </c>
      <c r="AD64" s="12">
        <f t="shared" si="42"/>
        <v>1</v>
      </c>
      <c r="AE64" s="12">
        <f t="shared" si="43"/>
        <v>1</v>
      </c>
      <c r="AF64" s="12">
        <f t="shared" si="44"/>
        <v>1</v>
      </c>
      <c r="AG64" s="12">
        <f t="shared" si="45"/>
        <v>1</v>
      </c>
      <c r="AH64" s="12">
        <f t="shared" si="46"/>
        <v>1</v>
      </c>
      <c r="AI64" s="12">
        <f t="shared" si="47"/>
        <v>1</v>
      </c>
      <c r="AJ64" s="12">
        <f t="shared" si="48"/>
        <v>1</v>
      </c>
      <c r="AK64" s="12">
        <f t="shared" si="49"/>
        <v>1</v>
      </c>
      <c r="AL64" s="12">
        <f t="shared" si="50"/>
        <v>1</v>
      </c>
      <c r="AM64" s="12">
        <f t="shared" si="24"/>
        <v>1</v>
      </c>
      <c r="AN64" s="12">
        <f t="shared" si="25"/>
        <v>1</v>
      </c>
      <c r="AO64" s="12">
        <f t="shared" si="26"/>
        <v>1</v>
      </c>
      <c r="AP64" s="12">
        <f t="shared" si="27"/>
        <v>1</v>
      </c>
      <c r="AQ64" s="12">
        <f t="shared" si="28"/>
        <v>1</v>
      </c>
      <c r="AR64" s="12">
        <f t="shared" si="29"/>
        <v>1</v>
      </c>
      <c r="AS64" s="12" cm="1">
        <f t="array" ref="AS64">IF(AND(H64&lt;&gt;"",SUMPRODUCT(--ISNUMBER(FIND({0;1;2;3;4;5;6;7;8;9},H64)))=0),1,0)</f>
        <v>1</v>
      </c>
      <c r="AT64" s="12" cm="1">
        <f t="array" ref="AT64">IF(AND(I64&lt;&gt;"",SUMPRODUCT(--ISNUMBER(FIND({0;1;2;3;4;5;6;7;8;9},I64)))=0),1,0)</f>
        <v>1</v>
      </c>
      <c r="AU64" s="12" cm="1">
        <f t="array" ref="AU64">IF(AND(J64&lt;&gt;"",SUMPRODUCT(--ISNUMBER(FIND({0;1;2;3;4;5;6;7;8;9},J64)))=0),1,0)</f>
        <v>1</v>
      </c>
      <c r="AV64" s="12">
        <f t="shared" si="51"/>
        <v>1</v>
      </c>
      <c r="AW64" s="12">
        <f t="shared" ca="1" si="30"/>
        <v>1</v>
      </c>
      <c r="AX64" s="12">
        <f t="shared" si="31"/>
        <v>1</v>
      </c>
      <c r="AY64" s="12">
        <f t="shared" si="32"/>
        <v>1</v>
      </c>
      <c r="AZ64" s="12">
        <f t="shared" si="33"/>
        <v>1</v>
      </c>
      <c r="BA64" s="12">
        <f t="shared" si="34"/>
        <v>1</v>
      </c>
      <c r="BB64" s="12">
        <f t="shared" si="35"/>
        <v>1</v>
      </c>
      <c r="BC64" s="12">
        <f t="shared" ca="1" si="36"/>
        <v>1</v>
      </c>
      <c r="BD64" s="12">
        <f t="shared" si="37"/>
        <v>1</v>
      </c>
      <c r="BE64" s="12">
        <f t="shared" si="38"/>
        <v>1</v>
      </c>
      <c r="BF64" s="12">
        <f t="shared" si="39"/>
        <v>1</v>
      </c>
      <c r="BG64" s="12">
        <f t="shared" ca="1" si="40"/>
        <v>1</v>
      </c>
    </row>
    <row r="65" spans="1:59" ht="15.75" customHeight="1" x14ac:dyDescent="0.2">
      <c r="A65" s="19">
        <f t="shared" si="4"/>
        <v>1</v>
      </c>
      <c r="B65" s="20">
        <f t="shared" si="5"/>
        <v>1</v>
      </c>
      <c r="C65" s="20">
        <f t="shared" ca="1" si="6"/>
        <v>1</v>
      </c>
      <c r="D65" s="50">
        <f t="shared" ca="1" si="41"/>
        <v>0</v>
      </c>
      <c r="E65" s="11" t="s">
        <v>389</v>
      </c>
      <c r="F65" s="11" t="s">
        <v>137</v>
      </c>
      <c r="G65" s="11">
        <v>1000000064</v>
      </c>
      <c r="H65" s="11" t="s">
        <v>189</v>
      </c>
      <c r="I65" s="11" t="s">
        <v>162</v>
      </c>
      <c r="J65" s="11" t="s">
        <v>260</v>
      </c>
      <c r="K65" s="11" t="s">
        <v>185</v>
      </c>
      <c r="L65" s="70">
        <v>31790</v>
      </c>
      <c r="M65" s="11" t="s">
        <v>390</v>
      </c>
      <c r="N65" s="11">
        <v>3315413168</v>
      </c>
      <c r="O65" s="11" t="s">
        <v>391</v>
      </c>
      <c r="P65" s="11" t="s">
        <v>217</v>
      </c>
      <c r="Q65" s="11" t="s">
        <v>218</v>
      </c>
      <c r="R65" s="68">
        <v>45551</v>
      </c>
      <c r="S65" s="11" t="s">
        <v>157</v>
      </c>
      <c r="T65" s="11" t="s">
        <v>158</v>
      </c>
      <c r="U65" s="11">
        <v>75000</v>
      </c>
      <c r="V65" s="68">
        <v>45792</v>
      </c>
      <c r="W65" s="12">
        <f t="shared" si="8"/>
        <v>1</v>
      </c>
      <c r="X65" s="12">
        <f t="shared" si="9"/>
        <v>1</v>
      </c>
      <c r="Y65" s="12">
        <f t="shared" si="10"/>
        <v>1</v>
      </c>
      <c r="Z65" s="12">
        <f t="shared" si="11"/>
        <v>1</v>
      </c>
      <c r="AA65" s="12">
        <f t="shared" si="12"/>
        <v>1</v>
      </c>
      <c r="AB65" s="12">
        <f t="shared" si="13"/>
        <v>1</v>
      </c>
      <c r="AC65" s="12">
        <f t="shared" si="14"/>
        <v>1</v>
      </c>
      <c r="AD65" s="12">
        <f t="shared" si="42"/>
        <v>1</v>
      </c>
      <c r="AE65" s="12">
        <f t="shared" si="43"/>
        <v>1</v>
      </c>
      <c r="AF65" s="12">
        <f t="shared" si="44"/>
        <v>1</v>
      </c>
      <c r="AG65" s="12">
        <f t="shared" si="45"/>
        <v>1</v>
      </c>
      <c r="AH65" s="12">
        <f t="shared" si="46"/>
        <v>1</v>
      </c>
      <c r="AI65" s="12">
        <f t="shared" si="47"/>
        <v>1</v>
      </c>
      <c r="AJ65" s="12">
        <f t="shared" si="48"/>
        <v>1</v>
      </c>
      <c r="AK65" s="12">
        <f t="shared" si="49"/>
        <v>1</v>
      </c>
      <c r="AL65" s="12">
        <f t="shared" si="50"/>
        <v>1</v>
      </c>
      <c r="AM65" s="12">
        <f t="shared" si="24"/>
        <v>1</v>
      </c>
      <c r="AN65" s="12">
        <f t="shared" si="25"/>
        <v>1</v>
      </c>
      <c r="AO65" s="12">
        <f t="shared" si="26"/>
        <v>1</v>
      </c>
      <c r="AP65" s="12">
        <f t="shared" si="27"/>
        <v>1</v>
      </c>
      <c r="AQ65" s="12">
        <f t="shared" si="28"/>
        <v>1</v>
      </c>
      <c r="AR65" s="12">
        <f t="shared" si="29"/>
        <v>1</v>
      </c>
      <c r="AS65" s="12" cm="1">
        <f t="array" ref="AS65">IF(AND(H65&lt;&gt;"",SUMPRODUCT(--ISNUMBER(FIND({0;1;2;3;4;5;6;7;8;9},H65)))=0),1,0)</f>
        <v>1</v>
      </c>
      <c r="AT65" s="12" cm="1">
        <f t="array" ref="AT65">IF(AND(I65&lt;&gt;"",SUMPRODUCT(--ISNUMBER(FIND({0;1;2;3;4;5;6;7;8;9},I65)))=0),1,0)</f>
        <v>1</v>
      </c>
      <c r="AU65" s="12" cm="1">
        <f t="array" ref="AU65">IF(AND(J65&lt;&gt;"",SUMPRODUCT(--ISNUMBER(FIND({0;1;2;3;4;5;6;7;8;9},J65)))=0),1,0)</f>
        <v>1</v>
      </c>
      <c r="AV65" s="12">
        <f t="shared" si="51"/>
        <v>1</v>
      </c>
      <c r="AW65" s="12">
        <f t="shared" ca="1" si="30"/>
        <v>1</v>
      </c>
      <c r="AX65" s="12">
        <f t="shared" si="31"/>
        <v>1</v>
      </c>
      <c r="AY65" s="12">
        <f t="shared" si="32"/>
        <v>1</v>
      </c>
      <c r="AZ65" s="12">
        <f t="shared" si="33"/>
        <v>1</v>
      </c>
      <c r="BA65" s="12">
        <f t="shared" si="34"/>
        <v>1</v>
      </c>
      <c r="BB65" s="12">
        <f t="shared" si="35"/>
        <v>1</v>
      </c>
      <c r="BC65" s="12">
        <f t="shared" ca="1" si="36"/>
        <v>1</v>
      </c>
      <c r="BD65" s="12">
        <f t="shared" si="37"/>
        <v>1</v>
      </c>
      <c r="BE65" s="12">
        <f t="shared" si="38"/>
        <v>1</v>
      </c>
      <c r="BF65" s="12">
        <f t="shared" si="39"/>
        <v>1</v>
      </c>
      <c r="BG65" s="12">
        <f t="shared" ca="1" si="40"/>
        <v>1</v>
      </c>
    </row>
    <row r="66" spans="1:59" ht="15.75" customHeight="1" x14ac:dyDescent="0.2">
      <c r="A66" s="19">
        <f t="shared" si="4"/>
        <v>1</v>
      </c>
      <c r="B66" s="20">
        <f t="shared" si="5"/>
        <v>1</v>
      </c>
      <c r="C66" s="20">
        <f t="shared" ca="1" si="6"/>
        <v>1</v>
      </c>
      <c r="D66" s="50">
        <f t="shared" ca="1" si="41"/>
        <v>0</v>
      </c>
      <c r="E66" s="11" t="s">
        <v>392</v>
      </c>
      <c r="F66" s="11" t="s">
        <v>149</v>
      </c>
      <c r="G66" s="11">
        <v>1000000065</v>
      </c>
      <c r="H66" s="11" t="s">
        <v>281</v>
      </c>
      <c r="I66" s="11" t="s">
        <v>231</v>
      </c>
      <c r="J66" s="11" t="s">
        <v>183</v>
      </c>
      <c r="K66" s="11" t="s">
        <v>185</v>
      </c>
      <c r="L66" s="70">
        <v>37850</v>
      </c>
      <c r="M66" s="11" t="s">
        <v>393</v>
      </c>
      <c r="N66" s="11">
        <v>3416461905</v>
      </c>
      <c r="O66" s="11" t="s">
        <v>394</v>
      </c>
      <c r="P66" s="11" t="s">
        <v>217</v>
      </c>
      <c r="Q66" s="11" t="s">
        <v>218</v>
      </c>
      <c r="R66" s="68">
        <v>45089</v>
      </c>
      <c r="S66" s="11" t="s">
        <v>157</v>
      </c>
      <c r="T66" s="11" t="s">
        <v>158</v>
      </c>
      <c r="U66" s="11">
        <v>95000</v>
      </c>
      <c r="V66" s="68">
        <v>45152</v>
      </c>
      <c r="W66" s="12">
        <f t="shared" si="8"/>
        <v>1</v>
      </c>
      <c r="X66" s="12">
        <f t="shared" si="9"/>
        <v>1</v>
      </c>
      <c r="Y66" s="12">
        <f t="shared" si="10"/>
        <v>1</v>
      </c>
      <c r="Z66" s="12">
        <f t="shared" si="11"/>
        <v>1</v>
      </c>
      <c r="AA66" s="12">
        <f t="shared" si="12"/>
        <v>1</v>
      </c>
      <c r="AB66" s="12">
        <f t="shared" si="13"/>
        <v>1</v>
      </c>
      <c r="AC66" s="12">
        <f t="shared" si="14"/>
        <v>1</v>
      </c>
      <c r="AD66" s="12">
        <f t="shared" si="42"/>
        <v>1</v>
      </c>
      <c r="AE66" s="12">
        <f t="shared" si="43"/>
        <v>1</v>
      </c>
      <c r="AF66" s="12">
        <f t="shared" si="44"/>
        <v>1</v>
      </c>
      <c r="AG66" s="12">
        <f t="shared" si="45"/>
        <v>1</v>
      </c>
      <c r="AH66" s="12">
        <f t="shared" si="46"/>
        <v>1</v>
      </c>
      <c r="AI66" s="12">
        <f t="shared" si="47"/>
        <v>1</v>
      </c>
      <c r="AJ66" s="12">
        <f t="shared" si="48"/>
        <v>1</v>
      </c>
      <c r="AK66" s="12">
        <f t="shared" si="49"/>
        <v>1</v>
      </c>
      <c r="AL66" s="12">
        <f t="shared" si="50"/>
        <v>1</v>
      </c>
      <c r="AM66" s="12">
        <f t="shared" si="24"/>
        <v>1</v>
      </c>
      <c r="AN66" s="12">
        <f t="shared" si="25"/>
        <v>1</v>
      </c>
      <c r="AO66" s="12">
        <f t="shared" si="26"/>
        <v>1</v>
      </c>
      <c r="AP66" s="12">
        <f t="shared" si="27"/>
        <v>1</v>
      </c>
      <c r="AQ66" s="12">
        <f t="shared" si="28"/>
        <v>1</v>
      </c>
      <c r="AR66" s="12">
        <f t="shared" si="29"/>
        <v>1</v>
      </c>
      <c r="AS66" s="12" cm="1">
        <f t="array" ref="AS66">IF(AND(H66&lt;&gt;"",SUMPRODUCT(--ISNUMBER(FIND({0;1;2;3;4;5;6;7;8;9},H66)))=0),1,0)</f>
        <v>1</v>
      </c>
      <c r="AT66" s="12" cm="1">
        <f t="array" ref="AT66">IF(AND(I66&lt;&gt;"",SUMPRODUCT(--ISNUMBER(FIND({0;1;2;3;4;5;6;7;8;9},I66)))=0),1,0)</f>
        <v>1</v>
      </c>
      <c r="AU66" s="12" cm="1">
        <f t="array" ref="AU66">IF(AND(J66&lt;&gt;"",SUMPRODUCT(--ISNUMBER(FIND({0;1;2;3;4;5;6;7;8;9},J66)))=0),1,0)</f>
        <v>1</v>
      </c>
      <c r="AV66" s="12">
        <f t="shared" si="51"/>
        <v>1</v>
      </c>
      <c r="AW66" s="12">
        <f t="shared" ca="1" si="30"/>
        <v>1</v>
      </c>
      <c r="AX66" s="12">
        <f t="shared" si="31"/>
        <v>1</v>
      </c>
      <c r="AY66" s="12">
        <f t="shared" si="32"/>
        <v>1</v>
      </c>
      <c r="AZ66" s="12">
        <f t="shared" si="33"/>
        <v>1</v>
      </c>
      <c r="BA66" s="12">
        <f t="shared" si="34"/>
        <v>1</v>
      </c>
      <c r="BB66" s="12">
        <f t="shared" si="35"/>
        <v>1</v>
      </c>
      <c r="BC66" s="12">
        <f t="shared" ca="1" si="36"/>
        <v>1</v>
      </c>
      <c r="BD66" s="12">
        <f t="shared" si="37"/>
        <v>1</v>
      </c>
      <c r="BE66" s="12">
        <f t="shared" si="38"/>
        <v>1</v>
      </c>
      <c r="BF66" s="12">
        <f t="shared" si="39"/>
        <v>1</v>
      </c>
      <c r="BG66" s="12">
        <f t="shared" ca="1" si="40"/>
        <v>1</v>
      </c>
    </row>
    <row r="67" spans="1:59" ht="15.75" customHeight="1" x14ac:dyDescent="0.2">
      <c r="A67" s="19">
        <f t="shared" ref="A67:A130" si="52">IF(AND(W67=1,X67=1),1,0)</f>
        <v>1</v>
      </c>
      <c r="B67" s="20">
        <f t="shared" ref="B67:B130" si="53">IF(AND(Y67=1,Z67=1,AA67=1,AB67=1,AC67=1,AD67=1,AE67=1,AF67=1,AG67=1,AH67=1,AI67=1,AJ67=1,AK67=1,AL67=1,AM67=1,AN67=1,AO67=1),1,0)</f>
        <v>1</v>
      </c>
      <c r="C67" s="20">
        <f t="shared" ref="C67:C130" ca="1" si="54">IF(AND(AP67=1,AQ67=1,AR67=1,AS67=1,AT67=1,AU67=1,AV67=1,AW67=1,AX67=1,AY67=1,AZ67=1,BA67=1,BB67=1,BC67=1,BD67=1,BE67=1,BF67=1,BG67=1),1,0)</f>
        <v>0</v>
      </c>
      <c r="D67" s="50">
        <f t="shared" ca="1" si="41"/>
        <v>1</v>
      </c>
      <c r="E67" s="11" t="s">
        <v>395</v>
      </c>
      <c r="F67" s="11" t="s">
        <v>137</v>
      </c>
      <c r="G67" s="11">
        <v>1000000066</v>
      </c>
      <c r="H67" s="11" t="s">
        <v>176</v>
      </c>
      <c r="I67" s="11" t="s">
        <v>195</v>
      </c>
      <c r="J67" s="11" t="s">
        <v>267</v>
      </c>
      <c r="K67" s="11" t="s">
        <v>141</v>
      </c>
      <c r="L67" s="70">
        <v>31332</v>
      </c>
      <c r="M67" s="11" t="s">
        <v>396</v>
      </c>
      <c r="N67" s="11">
        <v>3946648353</v>
      </c>
      <c r="O67" s="11" t="s">
        <v>397</v>
      </c>
      <c r="P67" s="11" t="s">
        <v>179</v>
      </c>
      <c r="Q67" s="11" t="s">
        <v>180</v>
      </c>
      <c r="R67" s="68">
        <v>46103</v>
      </c>
      <c r="S67" s="11" t="s">
        <v>174</v>
      </c>
      <c r="T67" s="11" t="s">
        <v>166</v>
      </c>
      <c r="U67" s="11">
        <v>90000</v>
      </c>
      <c r="V67" s="68">
        <v>46184</v>
      </c>
      <c r="W67" s="12">
        <f t="shared" ref="W67:W130" si="55">IF(COUNTIF(E$2:E$201,E67)&gt;1,0,1)</f>
        <v>1</v>
      </c>
      <c r="X67" s="12">
        <f t="shared" ref="X67:X130" si="56">IF(COUNTIF(G$2:G$201,G67)&gt;1,0,1)</f>
        <v>1</v>
      </c>
      <c r="Y67" s="12">
        <f t="shared" ref="Y67:Y130" si="57">IF(E67="",0,1)</f>
        <v>1</v>
      </c>
      <c r="Z67" s="12">
        <f t="shared" ref="Z67:Z130" si="58">IF(F67="",0,1)</f>
        <v>1</v>
      </c>
      <c r="AA67" s="12">
        <f t="shared" ref="AA67:AA130" si="59">IF(G67="",0,1)</f>
        <v>1</v>
      </c>
      <c r="AB67" s="12">
        <f t="shared" ref="AB67:AB130" si="60">IF(H67="",0,1)</f>
        <v>1</v>
      </c>
      <c r="AC67" s="12">
        <f t="shared" ref="AC67:AC130" si="61">IF(I67="",0,1)</f>
        <v>1</v>
      </c>
      <c r="AD67" s="12">
        <f t="shared" si="42"/>
        <v>1</v>
      </c>
      <c r="AE67" s="12">
        <f t="shared" si="43"/>
        <v>1</v>
      </c>
      <c r="AF67" s="12">
        <f t="shared" si="44"/>
        <v>1</v>
      </c>
      <c r="AG67" s="12">
        <f t="shared" si="45"/>
        <v>1</v>
      </c>
      <c r="AH67" s="12">
        <f t="shared" si="46"/>
        <v>1</v>
      </c>
      <c r="AI67" s="12">
        <f t="shared" si="47"/>
        <v>1</v>
      </c>
      <c r="AJ67" s="12">
        <f t="shared" si="48"/>
        <v>1</v>
      </c>
      <c r="AK67" s="12">
        <f t="shared" si="49"/>
        <v>1</v>
      </c>
      <c r="AL67" s="12">
        <f t="shared" si="50"/>
        <v>1</v>
      </c>
      <c r="AM67" s="12">
        <f t="shared" ref="AM67:AM130" si="62">IF(T67="",0,1)</f>
        <v>1</v>
      </c>
      <c r="AN67" s="12">
        <f t="shared" ref="AN67:AN130" si="63">IF(U67="",0,1)</f>
        <v>1</v>
      </c>
      <c r="AO67" s="12">
        <f t="shared" ref="AO67:AO130" si="64">IF(V67="",0,1)</f>
        <v>1</v>
      </c>
      <c r="AP67" s="12">
        <f t="shared" ref="AP67:AP130" si="65">IF(AND(LEFT(E67,2)="AF",LEN(E67)=6),1,0)</f>
        <v>1</v>
      </c>
      <c r="AQ67" s="12">
        <f t="shared" ref="AQ67:AQ130" si="66">IF(OR(F67="CC",F67="CE",F67="TI",F67="PAS"),1,0)</f>
        <v>1</v>
      </c>
      <c r="AR67" s="12">
        <f t="shared" ref="AR67:AR130" si="67">IF(AND(ISNUMBER(G67),COUNTIF($G:$G,G67)=1),1,0)</f>
        <v>1</v>
      </c>
      <c r="AS67" s="12" cm="1">
        <f t="array" ref="AS67">IF(AND(H67&lt;&gt;"",SUMPRODUCT(--ISNUMBER(FIND({0;1;2;3;4;5;6;7;8;9},H67)))=0),1,0)</f>
        <v>1</v>
      </c>
      <c r="AT67" s="12" cm="1">
        <f t="array" ref="AT67">IF(AND(I67&lt;&gt;"",SUMPRODUCT(--ISNUMBER(FIND({0;1;2;3;4;5;6;7;8;9},I67)))=0),1,0)</f>
        <v>1</v>
      </c>
      <c r="AU67" s="12" cm="1">
        <f t="array" ref="AU67">IF(AND(J67&lt;&gt;"",SUMPRODUCT(--ISNUMBER(FIND({0;1;2;3;4;5;6;7;8;9},J67)))=0),1,0)</f>
        <v>1</v>
      </c>
      <c r="AV67" s="12">
        <f t="shared" si="51"/>
        <v>1</v>
      </c>
      <c r="AW67" s="12">
        <f t="shared" ref="AW67:AW130" ca="1" si="68">IF(AND(ISNUMBER(L67),L67&lt;=TODAY()),1,0)</f>
        <v>1</v>
      </c>
      <c r="AX67" s="12">
        <f t="shared" ref="AX67:AX130" si="69">IF(AND(ISNUMBER(SEARCH("@",M67)),ISNUMBER(SEARCH(".",M67,SEARCH("@",M67)+2)),NOT(ISNUMBER(SEARCH(" ",M67)))),1,0)</f>
        <v>1</v>
      </c>
      <c r="AY67" s="12">
        <f t="shared" ref="AY67:AY130" si="70">IF(AND(ISNUMBER(N67),LEN(N67)=10),1,0)</f>
        <v>1</v>
      </c>
      <c r="AZ67" s="12">
        <f t="shared" ref="AZ67:AZ130" si="71">IF(LEN(TRIM(O67))&gt;=10,1,0)</f>
        <v>1</v>
      </c>
      <c r="BA67" s="12">
        <f t="shared" ref="BA67:BA130" si="72">IF(OR(ISBLANK(O67),O67=""),1,IF(ISTEXT(O67),1,0))</f>
        <v>1</v>
      </c>
      <c r="BB67" s="12">
        <f t="shared" ref="BB67:BB130" si="73">IF(OR(ISBLANK(P67),P67=""),1,IF(ISTEXT(P67),1,0))</f>
        <v>1</v>
      </c>
      <c r="BC67" s="12">
        <f t="shared" ref="BC67:BC130" ca="1" si="74">IF(AND(ISNUMBER(R67),R67&lt;=TODAY()),1,0)</f>
        <v>1</v>
      </c>
      <c r="BD67" s="12">
        <f t="shared" ref="BD67:BD130" si="75">IF(OR(ISBLANK(S67),S67=""),1,IF(ISTEXT(S67),1,0))</f>
        <v>1</v>
      </c>
      <c r="BE67" s="12">
        <f t="shared" ref="BE67:BE130" si="76">IF(OR(ISBLANK(T67),T67=""),1,IF(ISTEXT(T67),1,0))</f>
        <v>1</v>
      </c>
      <c r="BF67" s="12">
        <f t="shared" ref="BF67:BF130" si="77">IF(AND(ISNUMBER(U67),U67&gt;0),1,0)</f>
        <v>1</v>
      </c>
      <c r="BG67" s="12">
        <f t="shared" ref="BG67:BG130" ca="1" si="78">IF(AND(ISNUMBER(V67),V67&lt;=TODAY()),1,0)</f>
        <v>0</v>
      </c>
    </row>
    <row r="68" spans="1:59" ht="15.75" customHeight="1" x14ac:dyDescent="0.2">
      <c r="A68" s="19">
        <f t="shared" si="52"/>
        <v>1</v>
      </c>
      <c r="B68" s="20">
        <f t="shared" si="53"/>
        <v>1</v>
      </c>
      <c r="C68" s="20">
        <f t="shared" ca="1" si="54"/>
        <v>1</v>
      </c>
      <c r="D68" s="50">
        <f t="shared" ca="1" si="41"/>
        <v>0</v>
      </c>
      <c r="E68" s="11" t="s">
        <v>398</v>
      </c>
      <c r="F68" s="11" t="s">
        <v>160</v>
      </c>
      <c r="G68" s="11">
        <v>1000000067</v>
      </c>
      <c r="H68" s="11" t="s">
        <v>138</v>
      </c>
      <c r="I68" s="11" t="s">
        <v>184</v>
      </c>
      <c r="J68" s="11" t="s">
        <v>195</v>
      </c>
      <c r="K68" s="11" t="s">
        <v>141</v>
      </c>
      <c r="L68" s="70">
        <v>31280</v>
      </c>
      <c r="M68" s="11" t="s">
        <v>399</v>
      </c>
      <c r="N68" s="11">
        <v>3825824066</v>
      </c>
      <c r="O68" s="11" t="s">
        <v>400</v>
      </c>
      <c r="P68" s="11" t="s">
        <v>179</v>
      </c>
      <c r="Q68" s="11" t="s">
        <v>180</v>
      </c>
      <c r="R68" s="68">
        <v>45129</v>
      </c>
      <c r="S68" s="11" t="s">
        <v>174</v>
      </c>
      <c r="T68" s="11" t="s">
        <v>147</v>
      </c>
      <c r="U68" s="11">
        <v>85000</v>
      </c>
      <c r="V68" s="68">
        <v>45377</v>
      </c>
      <c r="W68" s="12">
        <f t="shared" si="55"/>
        <v>1</v>
      </c>
      <c r="X68" s="12">
        <f t="shared" si="56"/>
        <v>1</v>
      </c>
      <c r="Y68" s="12">
        <f t="shared" si="57"/>
        <v>1</v>
      </c>
      <c r="Z68" s="12">
        <f t="shared" si="58"/>
        <v>1</v>
      </c>
      <c r="AA68" s="12">
        <f t="shared" si="59"/>
        <v>1</v>
      </c>
      <c r="AB68" s="12">
        <f t="shared" si="60"/>
        <v>1</v>
      </c>
      <c r="AC68" s="12">
        <f t="shared" si="61"/>
        <v>1</v>
      </c>
      <c r="AD68" s="12">
        <f t="shared" si="42"/>
        <v>1</v>
      </c>
      <c r="AE68" s="12">
        <f t="shared" si="43"/>
        <v>1</v>
      </c>
      <c r="AF68" s="12">
        <f t="shared" si="44"/>
        <v>1</v>
      </c>
      <c r="AG68" s="12">
        <f t="shared" si="45"/>
        <v>1</v>
      </c>
      <c r="AH68" s="12">
        <f t="shared" si="46"/>
        <v>1</v>
      </c>
      <c r="AI68" s="12">
        <f t="shared" si="47"/>
        <v>1</v>
      </c>
      <c r="AJ68" s="12">
        <f t="shared" si="48"/>
        <v>1</v>
      </c>
      <c r="AK68" s="12">
        <f t="shared" si="49"/>
        <v>1</v>
      </c>
      <c r="AL68" s="12">
        <f t="shared" si="50"/>
        <v>1</v>
      </c>
      <c r="AM68" s="12">
        <f t="shared" si="62"/>
        <v>1</v>
      </c>
      <c r="AN68" s="12">
        <f t="shared" si="63"/>
        <v>1</v>
      </c>
      <c r="AO68" s="12">
        <f t="shared" si="64"/>
        <v>1</v>
      </c>
      <c r="AP68" s="12">
        <f t="shared" si="65"/>
        <v>1</v>
      </c>
      <c r="AQ68" s="12">
        <f t="shared" si="66"/>
        <v>1</v>
      </c>
      <c r="AR68" s="12">
        <f t="shared" si="67"/>
        <v>1</v>
      </c>
      <c r="AS68" s="12" cm="1">
        <f t="array" ref="AS68">IF(AND(H68&lt;&gt;"",SUMPRODUCT(--ISNUMBER(FIND({0;1;2;3;4;5;6;7;8;9},H68)))=0),1,0)</f>
        <v>1</v>
      </c>
      <c r="AT68" s="12" cm="1">
        <f t="array" ref="AT68">IF(AND(I68&lt;&gt;"",SUMPRODUCT(--ISNUMBER(FIND({0;1;2;3;4;5;6;7;8;9},I68)))=0),1,0)</f>
        <v>1</v>
      </c>
      <c r="AU68" s="12" cm="1">
        <f t="array" ref="AU68">IF(AND(J68&lt;&gt;"",SUMPRODUCT(--ISNUMBER(FIND({0;1;2;3;4;5;6;7;8;9},J68)))=0),1,0)</f>
        <v>1</v>
      </c>
      <c r="AV68" s="12">
        <f t="shared" si="51"/>
        <v>1</v>
      </c>
      <c r="AW68" s="12">
        <f t="shared" ca="1" si="68"/>
        <v>1</v>
      </c>
      <c r="AX68" s="12">
        <f t="shared" si="69"/>
        <v>1</v>
      </c>
      <c r="AY68" s="12">
        <f t="shared" si="70"/>
        <v>1</v>
      </c>
      <c r="AZ68" s="12">
        <f t="shared" si="71"/>
        <v>1</v>
      </c>
      <c r="BA68" s="12">
        <f t="shared" si="72"/>
        <v>1</v>
      </c>
      <c r="BB68" s="12">
        <f t="shared" si="73"/>
        <v>1</v>
      </c>
      <c r="BC68" s="12">
        <f t="shared" ca="1" si="74"/>
        <v>1</v>
      </c>
      <c r="BD68" s="12">
        <f t="shared" si="75"/>
        <v>1</v>
      </c>
      <c r="BE68" s="12">
        <f t="shared" si="76"/>
        <v>1</v>
      </c>
      <c r="BF68" s="12">
        <f t="shared" si="77"/>
        <v>1</v>
      </c>
      <c r="BG68" s="12">
        <f t="shared" ca="1" si="78"/>
        <v>1</v>
      </c>
    </row>
    <row r="69" spans="1:59" ht="15.75" customHeight="1" x14ac:dyDescent="0.2">
      <c r="A69" s="19">
        <f t="shared" si="52"/>
        <v>1</v>
      </c>
      <c r="B69" s="20">
        <f t="shared" si="53"/>
        <v>1</v>
      </c>
      <c r="C69" s="20">
        <f t="shared" ca="1" si="54"/>
        <v>1</v>
      </c>
      <c r="D69" s="50">
        <f t="shared" ca="1" si="41"/>
        <v>0</v>
      </c>
      <c r="E69" s="11" t="s">
        <v>401</v>
      </c>
      <c r="F69" s="11" t="s">
        <v>160</v>
      </c>
      <c r="G69" s="11">
        <v>1000000068</v>
      </c>
      <c r="H69" s="11" t="s">
        <v>321</v>
      </c>
      <c r="I69" s="11" t="s">
        <v>267</v>
      </c>
      <c r="J69" s="11" t="s">
        <v>169</v>
      </c>
      <c r="K69" s="11" t="s">
        <v>185</v>
      </c>
      <c r="L69" s="70">
        <v>27004</v>
      </c>
      <c r="M69" s="11" t="s">
        <v>402</v>
      </c>
      <c r="N69" s="11">
        <v>3347640992</v>
      </c>
      <c r="O69" s="11" t="s">
        <v>403</v>
      </c>
      <c r="P69" s="11" t="s">
        <v>248</v>
      </c>
      <c r="Q69" s="11" t="s">
        <v>249</v>
      </c>
      <c r="R69" s="68">
        <v>45459</v>
      </c>
      <c r="S69" s="11" t="s">
        <v>157</v>
      </c>
      <c r="T69" s="11" t="s">
        <v>147</v>
      </c>
      <c r="U69" s="11">
        <v>90000</v>
      </c>
      <c r="V69" s="68">
        <v>45514</v>
      </c>
      <c r="W69" s="12">
        <f t="shared" si="55"/>
        <v>1</v>
      </c>
      <c r="X69" s="12">
        <f t="shared" si="56"/>
        <v>1</v>
      </c>
      <c r="Y69" s="12">
        <f t="shared" si="57"/>
        <v>1</v>
      </c>
      <c r="Z69" s="12">
        <f t="shared" si="58"/>
        <v>1</v>
      </c>
      <c r="AA69" s="12">
        <f t="shared" si="59"/>
        <v>1</v>
      </c>
      <c r="AB69" s="12">
        <f t="shared" si="60"/>
        <v>1</v>
      </c>
      <c r="AC69" s="12">
        <f t="shared" si="61"/>
        <v>1</v>
      </c>
      <c r="AD69" s="12">
        <f t="shared" si="42"/>
        <v>1</v>
      </c>
      <c r="AE69" s="12">
        <f t="shared" si="43"/>
        <v>1</v>
      </c>
      <c r="AF69" s="12">
        <f t="shared" si="44"/>
        <v>1</v>
      </c>
      <c r="AG69" s="12">
        <f t="shared" si="45"/>
        <v>1</v>
      </c>
      <c r="AH69" s="12">
        <f t="shared" si="46"/>
        <v>1</v>
      </c>
      <c r="AI69" s="12">
        <f t="shared" si="47"/>
        <v>1</v>
      </c>
      <c r="AJ69" s="12">
        <f t="shared" si="48"/>
        <v>1</v>
      </c>
      <c r="AK69" s="12">
        <f t="shared" si="49"/>
        <v>1</v>
      </c>
      <c r="AL69" s="12">
        <f t="shared" si="50"/>
        <v>1</v>
      </c>
      <c r="AM69" s="12">
        <f t="shared" si="62"/>
        <v>1</v>
      </c>
      <c r="AN69" s="12">
        <f t="shared" si="63"/>
        <v>1</v>
      </c>
      <c r="AO69" s="12">
        <f t="shared" si="64"/>
        <v>1</v>
      </c>
      <c r="AP69" s="12">
        <f t="shared" si="65"/>
        <v>1</v>
      </c>
      <c r="AQ69" s="12">
        <f t="shared" si="66"/>
        <v>1</v>
      </c>
      <c r="AR69" s="12">
        <f t="shared" si="67"/>
        <v>1</v>
      </c>
      <c r="AS69" s="12" cm="1">
        <f t="array" ref="AS69">IF(AND(H69&lt;&gt;"",SUMPRODUCT(--ISNUMBER(FIND({0;1;2;3;4;5;6;7;8;9},H69)))=0),1,0)</f>
        <v>1</v>
      </c>
      <c r="AT69" s="12" cm="1">
        <f t="array" ref="AT69">IF(AND(I69&lt;&gt;"",SUMPRODUCT(--ISNUMBER(FIND({0;1;2;3;4;5;6;7;8;9},I69)))=0),1,0)</f>
        <v>1</v>
      </c>
      <c r="AU69" s="12" cm="1">
        <f t="array" ref="AU69">IF(AND(J69&lt;&gt;"",SUMPRODUCT(--ISNUMBER(FIND({0;1;2;3;4;5;6;7;8;9},J69)))=0),1,0)</f>
        <v>1</v>
      </c>
      <c r="AV69" s="12">
        <f t="shared" si="51"/>
        <v>1</v>
      </c>
      <c r="AW69" s="12">
        <f t="shared" ca="1" si="68"/>
        <v>1</v>
      </c>
      <c r="AX69" s="12">
        <f t="shared" si="69"/>
        <v>1</v>
      </c>
      <c r="AY69" s="12">
        <f t="shared" si="70"/>
        <v>1</v>
      </c>
      <c r="AZ69" s="12">
        <f t="shared" si="71"/>
        <v>1</v>
      </c>
      <c r="BA69" s="12">
        <f t="shared" si="72"/>
        <v>1</v>
      </c>
      <c r="BB69" s="12">
        <f t="shared" si="73"/>
        <v>1</v>
      </c>
      <c r="BC69" s="12">
        <f t="shared" ca="1" si="74"/>
        <v>1</v>
      </c>
      <c r="BD69" s="12">
        <f t="shared" si="75"/>
        <v>1</v>
      </c>
      <c r="BE69" s="12">
        <f t="shared" si="76"/>
        <v>1</v>
      </c>
      <c r="BF69" s="12">
        <f t="shared" si="77"/>
        <v>1</v>
      </c>
      <c r="BG69" s="12">
        <f t="shared" ca="1" si="78"/>
        <v>1</v>
      </c>
    </row>
    <row r="70" spans="1:59" ht="15.75" customHeight="1" x14ac:dyDescent="0.2">
      <c r="A70" s="19">
        <f t="shared" si="52"/>
        <v>1</v>
      </c>
      <c r="B70" s="20">
        <f t="shared" si="53"/>
        <v>1</v>
      </c>
      <c r="C70" s="20">
        <f t="shared" ca="1" si="54"/>
        <v>1</v>
      </c>
      <c r="D70" s="50">
        <f t="shared" ca="1" si="41"/>
        <v>0</v>
      </c>
      <c r="E70" s="11" t="s">
        <v>404</v>
      </c>
      <c r="F70" s="11" t="s">
        <v>149</v>
      </c>
      <c r="G70" s="11">
        <v>1000000069</v>
      </c>
      <c r="H70" s="11" t="s">
        <v>242</v>
      </c>
      <c r="I70" s="11" t="s">
        <v>151</v>
      </c>
      <c r="J70" s="11" t="s">
        <v>152</v>
      </c>
      <c r="K70" s="11" t="s">
        <v>185</v>
      </c>
      <c r="L70" s="70">
        <v>24758</v>
      </c>
      <c r="M70" s="11" t="s">
        <v>405</v>
      </c>
      <c r="N70" s="11">
        <v>3129916954</v>
      </c>
      <c r="O70" s="11" t="s">
        <v>406</v>
      </c>
      <c r="P70" s="11" t="s">
        <v>172</v>
      </c>
      <c r="Q70" s="11" t="s">
        <v>173</v>
      </c>
      <c r="R70" s="68">
        <v>44614</v>
      </c>
      <c r="S70" s="11" t="s">
        <v>157</v>
      </c>
      <c r="T70" s="11" t="s">
        <v>147</v>
      </c>
      <c r="U70" s="11">
        <v>90000</v>
      </c>
      <c r="V70" s="68">
        <v>44946</v>
      </c>
      <c r="W70" s="12">
        <f t="shared" si="55"/>
        <v>1</v>
      </c>
      <c r="X70" s="12">
        <f t="shared" si="56"/>
        <v>1</v>
      </c>
      <c r="Y70" s="12">
        <f t="shared" si="57"/>
        <v>1</v>
      </c>
      <c r="Z70" s="12">
        <f t="shared" si="58"/>
        <v>1</v>
      </c>
      <c r="AA70" s="12">
        <f t="shared" si="59"/>
        <v>1</v>
      </c>
      <c r="AB70" s="12">
        <f t="shared" si="60"/>
        <v>1</v>
      </c>
      <c r="AC70" s="12">
        <f t="shared" si="61"/>
        <v>1</v>
      </c>
      <c r="AD70" s="12">
        <f t="shared" si="42"/>
        <v>1</v>
      </c>
      <c r="AE70" s="12">
        <f t="shared" si="43"/>
        <v>1</v>
      </c>
      <c r="AF70" s="12">
        <f t="shared" si="44"/>
        <v>1</v>
      </c>
      <c r="AG70" s="12">
        <f t="shared" si="45"/>
        <v>1</v>
      </c>
      <c r="AH70" s="12">
        <f t="shared" si="46"/>
        <v>1</v>
      </c>
      <c r="AI70" s="12">
        <f t="shared" si="47"/>
        <v>1</v>
      </c>
      <c r="AJ70" s="12">
        <f t="shared" si="48"/>
        <v>1</v>
      </c>
      <c r="AK70" s="12">
        <f t="shared" si="49"/>
        <v>1</v>
      </c>
      <c r="AL70" s="12">
        <f t="shared" si="50"/>
        <v>1</v>
      </c>
      <c r="AM70" s="12">
        <f t="shared" si="62"/>
        <v>1</v>
      </c>
      <c r="AN70" s="12">
        <f t="shared" si="63"/>
        <v>1</v>
      </c>
      <c r="AO70" s="12">
        <f t="shared" si="64"/>
        <v>1</v>
      </c>
      <c r="AP70" s="12">
        <f t="shared" si="65"/>
        <v>1</v>
      </c>
      <c r="AQ70" s="12">
        <f t="shared" si="66"/>
        <v>1</v>
      </c>
      <c r="AR70" s="12">
        <f t="shared" si="67"/>
        <v>1</v>
      </c>
      <c r="AS70" s="12" cm="1">
        <f t="array" ref="AS70">IF(AND(H70&lt;&gt;"",SUMPRODUCT(--ISNUMBER(FIND({0;1;2;3;4;5;6;7;8;9},H70)))=0),1,0)</f>
        <v>1</v>
      </c>
      <c r="AT70" s="12" cm="1">
        <f t="array" ref="AT70">IF(AND(I70&lt;&gt;"",SUMPRODUCT(--ISNUMBER(FIND({0;1;2;3;4;5;6;7;8;9},I70)))=0),1,0)</f>
        <v>1</v>
      </c>
      <c r="AU70" s="12" cm="1">
        <f t="array" ref="AU70">IF(AND(J70&lt;&gt;"",SUMPRODUCT(--ISNUMBER(FIND({0;1;2;3;4;5;6;7;8;9},J70)))=0),1,0)</f>
        <v>1</v>
      </c>
      <c r="AV70" s="12">
        <f t="shared" si="51"/>
        <v>1</v>
      </c>
      <c r="AW70" s="12">
        <f t="shared" ca="1" si="68"/>
        <v>1</v>
      </c>
      <c r="AX70" s="12">
        <f t="shared" si="69"/>
        <v>1</v>
      </c>
      <c r="AY70" s="12">
        <f t="shared" si="70"/>
        <v>1</v>
      </c>
      <c r="AZ70" s="12">
        <f t="shared" si="71"/>
        <v>1</v>
      </c>
      <c r="BA70" s="12">
        <f t="shared" si="72"/>
        <v>1</v>
      </c>
      <c r="BB70" s="12">
        <f t="shared" si="73"/>
        <v>1</v>
      </c>
      <c r="BC70" s="12">
        <f t="shared" ca="1" si="74"/>
        <v>1</v>
      </c>
      <c r="BD70" s="12">
        <f t="shared" si="75"/>
        <v>1</v>
      </c>
      <c r="BE70" s="12">
        <f t="shared" si="76"/>
        <v>1</v>
      </c>
      <c r="BF70" s="12">
        <f t="shared" si="77"/>
        <v>1</v>
      </c>
      <c r="BG70" s="12">
        <f t="shared" ca="1" si="78"/>
        <v>1</v>
      </c>
    </row>
    <row r="71" spans="1:59" ht="15.75" customHeight="1" x14ac:dyDescent="0.2">
      <c r="A71" s="19">
        <f t="shared" si="52"/>
        <v>1</v>
      </c>
      <c r="B71" s="20">
        <f t="shared" si="53"/>
        <v>1</v>
      </c>
      <c r="C71" s="20">
        <f t="shared" ca="1" si="54"/>
        <v>1</v>
      </c>
      <c r="D71" s="50">
        <f t="shared" ca="1" si="41"/>
        <v>0</v>
      </c>
      <c r="E71" s="11" t="s">
        <v>407</v>
      </c>
      <c r="F71" s="11" t="s">
        <v>160</v>
      </c>
      <c r="G71" s="11">
        <v>1000000070</v>
      </c>
      <c r="H71" s="11" t="s">
        <v>220</v>
      </c>
      <c r="I71" s="11" t="s">
        <v>139</v>
      </c>
      <c r="J71" s="11" t="s">
        <v>256</v>
      </c>
      <c r="K71" s="11" t="s">
        <v>141</v>
      </c>
      <c r="L71" s="70">
        <v>27312</v>
      </c>
      <c r="M71" s="11" t="s">
        <v>408</v>
      </c>
      <c r="N71" s="11">
        <v>3825183617</v>
      </c>
      <c r="O71" s="11" t="s">
        <v>409</v>
      </c>
      <c r="P71" s="11" t="s">
        <v>217</v>
      </c>
      <c r="Q71" s="11" t="s">
        <v>218</v>
      </c>
      <c r="R71" s="68">
        <v>45788</v>
      </c>
      <c r="S71" s="11" t="s">
        <v>174</v>
      </c>
      <c r="T71" s="11" t="s">
        <v>147</v>
      </c>
      <c r="U71" s="11">
        <v>85000</v>
      </c>
      <c r="V71" s="68">
        <v>46080</v>
      </c>
      <c r="W71" s="12">
        <f t="shared" si="55"/>
        <v>1</v>
      </c>
      <c r="X71" s="12">
        <f t="shared" si="56"/>
        <v>1</v>
      </c>
      <c r="Y71" s="12">
        <f t="shared" si="57"/>
        <v>1</v>
      </c>
      <c r="Z71" s="12">
        <f t="shared" si="58"/>
        <v>1</v>
      </c>
      <c r="AA71" s="12">
        <f t="shared" si="59"/>
        <v>1</v>
      </c>
      <c r="AB71" s="12">
        <f t="shared" si="60"/>
        <v>1</v>
      </c>
      <c r="AC71" s="12">
        <f t="shared" si="61"/>
        <v>1</v>
      </c>
      <c r="AD71" s="12">
        <f t="shared" si="42"/>
        <v>1</v>
      </c>
      <c r="AE71" s="12">
        <f t="shared" si="43"/>
        <v>1</v>
      </c>
      <c r="AF71" s="12">
        <f t="shared" si="44"/>
        <v>1</v>
      </c>
      <c r="AG71" s="12">
        <f t="shared" si="45"/>
        <v>1</v>
      </c>
      <c r="AH71" s="12">
        <f t="shared" si="46"/>
        <v>1</v>
      </c>
      <c r="AI71" s="12">
        <f t="shared" si="47"/>
        <v>1</v>
      </c>
      <c r="AJ71" s="12">
        <f t="shared" si="48"/>
        <v>1</v>
      </c>
      <c r="AK71" s="12">
        <f t="shared" si="49"/>
        <v>1</v>
      </c>
      <c r="AL71" s="12">
        <f t="shared" si="50"/>
        <v>1</v>
      </c>
      <c r="AM71" s="12">
        <f t="shared" si="62"/>
        <v>1</v>
      </c>
      <c r="AN71" s="12">
        <f t="shared" si="63"/>
        <v>1</v>
      </c>
      <c r="AO71" s="12">
        <f t="shared" si="64"/>
        <v>1</v>
      </c>
      <c r="AP71" s="12">
        <f t="shared" si="65"/>
        <v>1</v>
      </c>
      <c r="AQ71" s="12">
        <f t="shared" si="66"/>
        <v>1</v>
      </c>
      <c r="AR71" s="12">
        <f t="shared" si="67"/>
        <v>1</v>
      </c>
      <c r="AS71" s="12" cm="1">
        <f t="array" ref="AS71">IF(AND(H71&lt;&gt;"",SUMPRODUCT(--ISNUMBER(FIND({0;1;2;3;4;5;6;7;8;9},H71)))=0),1,0)</f>
        <v>1</v>
      </c>
      <c r="AT71" s="12" cm="1">
        <f t="array" ref="AT71">IF(AND(I71&lt;&gt;"",SUMPRODUCT(--ISNUMBER(FIND({0;1;2;3;4;5;6;7;8;9},I71)))=0),1,0)</f>
        <v>1</v>
      </c>
      <c r="AU71" s="12" cm="1">
        <f t="array" ref="AU71">IF(AND(J71&lt;&gt;"",SUMPRODUCT(--ISNUMBER(FIND({0;1;2;3;4;5;6;7;8;9},J71)))=0),1,0)</f>
        <v>1</v>
      </c>
      <c r="AV71" s="12">
        <f t="shared" si="51"/>
        <v>1</v>
      </c>
      <c r="AW71" s="12">
        <f t="shared" ca="1" si="68"/>
        <v>1</v>
      </c>
      <c r="AX71" s="12">
        <f t="shared" si="69"/>
        <v>1</v>
      </c>
      <c r="AY71" s="12">
        <f t="shared" si="70"/>
        <v>1</v>
      </c>
      <c r="AZ71" s="12">
        <f t="shared" si="71"/>
        <v>1</v>
      </c>
      <c r="BA71" s="12">
        <f t="shared" si="72"/>
        <v>1</v>
      </c>
      <c r="BB71" s="12">
        <f t="shared" si="73"/>
        <v>1</v>
      </c>
      <c r="BC71" s="12">
        <f t="shared" ca="1" si="74"/>
        <v>1</v>
      </c>
      <c r="BD71" s="12">
        <f t="shared" si="75"/>
        <v>1</v>
      </c>
      <c r="BE71" s="12">
        <f t="shared" si="76"/>
        <v>1</v>
      </c>
      <c r="BF71" s="12">
        <f t="shared" si="77"/>
        <v>1</v>
      </c>
      <c r="BG71" s="12">
        <f t="shared" ca="1" si="78"/>
        <v>1</v>
      </c>
    </row>
    <row r="72" spans="1:59" ht="15.75" customHeight="1" x14ac:dyDescent="0.2">
      <c r="A72" s="19">
        <f t="shared" si="52"/>
        <v>1</v>
      </c>
      <c r="B72" s="20">
        <f t="shared" si="53"/>
        <v>1</v>
      </c>
      <c r="C72" s="20">
        <f t="shared" ca="1" si="54"/>
        <v>1</v>
      </c>
      <c r="D72" s="50">
        <f t="shared" ca="1" si="41"/>
        <v>0</v>
      </c>
      <c r="E72" s="11" t="s">
        <v>410</v>
      </c>
      <c r="F72" s="11" t="s">
        <v>149</v>
      </c>
      <c r="G72" s="11">
        <v>1000000071</v>
      </c>
      <c r="H72" s="11" t="s">
        <v>294</v>
      </c>
      <c r="I72" s="11" t="s">
        <v>140</v>
      </c>
      <c r="J72" s="11" t="s">
        <v>235</v>
      </c>
      <c r="K72" s="11" t="s">
        <v>185</v>
      </c>
      <c r="L72" s="70">
        <v>24167</v>
      </c>
      <c r="M72" s="11" t="s">
        <v>411</v>
      </c>
      <c r="N72" s="11">
        <v>3564667547</v>
      </c>
      <c r="O72" s="11" t="s">
        <v>412</v>
      </c>
      <c r="P72" s="11" t="s">
        <v>155</v>
      </c>
      <c r="Q72" s="11" t="s">
        <v>156</v>
      </c>
      <c r="R72" s="68">
        <v>46029</v>
      </c>
      <c r="S72" s="11" t="s">
        <v>174</v>
      </c>
      <c r="T72" s="11" t="s">
        <v>158</v>
      </c>
      <c r="U72" s="11">
        <v>95000</v>
      </c>
      <c r="V72" s="68">
        <v>46118</v>
      </c>
      <c r="W72" s="12">
        <f t="shared" si="55"/>
        <v>1</v>
      </c>
      <c r="X72" s="12">
        <f t="shared" si="56"/>
        <v>1</v>
      </c>
      <c r="Y72" s="12">
        <f t="shared" si="57"/>
        <v>1</v>
      </c>
      <c r="Z72" s="12">
        <f t="shared" si="58"/>
        <v>1</v>
      </c>
      <c r="AA72" s="12">
        <f t="shared" si="59"/>
        <v>1</v>
      </c>
      <c r="AB72" s="12">
        <f t="shared" si="60"/>
        <v>1</v>
      </c>
      <c r="AC72" s="12">
        <f t="shared" si="61"/>
        <v>1</v>
      </c>
      <c r="AD72" s="12">
        <f t="shared" si="42"/>
        <v>1</v>
      </c>
      <c r="AE72" s="12">
        <f t="shared" si="43"/>
        <v>1</v>
      </c>
      <c r="AF72" s="12">
        <f t="shared" si="44"/>
        <v>1</v>
      </c>
      <c r="AG72" s="12">
        <f t="shared" si="45"/>
        <v>1</v>
      </c>
      <c r="AH72" s="12">
        <f t="shared" si="46"/>
        <v>1</v>
      </c>
      <c r="AI72" s="12">
        <f t="shared" si="47"/>
        <v>1</v>
      </c>
      <c r="AJ72" s="12">
        <f t="shared" si="48"/>
        <v>1</v>
      </c>
      <c r="AK72" s="12">
        <f t="shared" si="49"/>
        <v>1</v>
      </c>
      <c r="AL72" s="12">
        <f t="shared" si="50"/>
        <v>1</v>
      </c>
      <c r="AM72" s="12">
        <f t="shared" si="62"/>
        <v>1</v>
      </c>
      <c r="AN72" s="12">
        <f t="shared" si="63"/>
        <v>1</v>
      </c>
      <c r="AO72" s="12">
        <f t="shared" si="64"/>
        <v>1</v>
      </c>
      <c r="AP72" s="12">
        <f t="shared" si="65"/>
        <v>1</v>
      </c>
      <c r="AQ72" s="12">
        <f t="shared" si="66"/>
        <v>1</v>
      </c>
      <c r="AR72" s="12">
        <f t="shared" si="67"/>
        <v>1</v>
      </c>
      <c r="AS72" s="12" cm="1">
        <f t="array" ref="AS72">IF(AND(H72&lt;&gt;"",SUMPRODUCT(--ISNUMBER(FIND({0;1;2;3;4;5;6;7;8;9},H72)))=0),1,0)</f>
        <v>1</v>
      </c>
      <c r="AT72" s="12" cm="1">
        <f t="array" ref="AT72">IF(AND(I72&lt;&gt;"",SUMPRODUCT(--ISNUMBER(FIND({0;1;2;3;4;5;6;7;8;9},I72)))=0),1,0)</f>
        <v>1</v>
      </c>
      <c r="AU72" s="12" cm="1">
        <f t="array" ref="AU72">IF(AND(J72&lt;&gt;"",SUMPRODUCT(--ISNUMBER(FIND({0;1;2;3;4;5;6;7;8;9},J72)))=0),1,0)</f>
        <v>1</v>
      </c>
      <c r="AV72" s="12">
        <f t="shared" si="51"/>
        <v>1</v>
      </c>
      <c r="AW72" s="12">
        <f t="shared" ca="1" si="68"/>
        <v>1</v>
      </c>
      <c r="AX72" s="12">
        <f t="shared" si="69"/>
        <v>1</v>
      </c>
      <c r="AY72" s="12">
        <f t="shared" si="70"/>
        <v>1</v>
      </c>
      <c r="AZ72" s="12">
        <f t="shared" si="71"/>
        <v>1</v>
      </c>
      <c r="BA72" s="12">
        <f t="shared" si="72"/>
        <v>1</v>
      </c>
      <c r="BB72" s="12">
        <f t="shared" si="73"/>
        <v>1</v>
      </c>
      <c r="BC72" s="12">
        <f t="shared" ca="1" si="74"/>
        <v>1</v>
      </c>
      <c r="BD72" s="12">
        <f t="shared" si="75"/>
        <v>1</v>
      </c>
      <c r="BE72" s="12">
        <f t="shared" si="76"/>
        <v>1</v>
      </c>
      <c r="BF72" s="12">
        <f t="shared" si="77"/>
        <v>1</v>
      </c>
      <c r="BG72" s="12">
        <f t="shared" ca="1" si="78"/>
        <v>1</v>
      </c>
    </row>
    <row r="73" spans="1:59" ht="15.75" customHeight="1" x14ac:dyDescent="0.2">
      <c r="A73" s="19">
        <f t="shared" si="52"/>
        <v>1</v>
      </c>
      <c r="B73" s="20">
        <f t="shared" si="53"/>
        <v>1</v>
      </c>
      <c r="C73" s="20">
        <f t="shared" ca="1" si="54"/>
        <v>1</v>
      </c>
      <c r="D73" s="50">
        <f t="shared" ca="1" si="41"/>
        <v>0</v>
      </c>
      <c r="E73" s="11" t="s">
        <v>413</v>
      </c>
      <c r="F73" s="11" t="s">
        <v>149</v>
      </c>
      <c r="G73" s="11">
        <v>1000000072</v>
      </c>
      <c r="H73" s="11" t="s">
        <v>207</v>
      </c>
      <c r="I73" s="11" t="s">
        <v>221</v>
      </c>
      <c r="J73" s="11" t="s">
        <v>169</v>
      </c>
      <c r="K73" s="11" t="s">
        <v>141</v>
      </c>
      <c r="L73" s="70">
        <v>36724</v>
      </c>
      <c r="M73" s="11" t="s">
        <v>414</v>
      </c>
      <c r="N73" s="11">
        <v>3386095120</v>
      </c>
      <c r="O73" s="11" t="s">
        <v>415</v>
      </c>
      <c r="P73" s="11" t="s">
        <v>179</v>
      </c>
      <c r="Q73" s="11" t="s">
        <v>180</v>
      </c>
      <c r="R73" s="68">
        <v>45849</v>
      </c>
      <c r="S73" s="11" t="s">
        <v>146</v>
      </c>
      <c r="T73" s="11" t="s">
        <v>166</v>
      </c>
      <c r="U73" s="11">
        <v>95000</v>
      </c>
      <c r="V73" s="68">
        <v>45927</v>
      </c>
      <c r="W73" s="12">
        <f t="shared" si="55"/>
        <v>1</v>
      </c>
      <c r="X73" s="12">
        <f t="shared" si="56"/>
        <v>1</v>
      </c>
      <c r="Y73" s="12">
        <f t="shared" si="57"/>
        <v>1</v>
      </c>
      <c r="Z73" s="12">
        <f t="shared" si="58"/>
        <v>1</v>
      </c>
      <c r="AA73" s="12">
        <f t="shared" si="59"/>
        <v>1</v>
      </c>
      <c r="AB73" s="12">
        <f t="shared" si="60"/>
        <v>1</v>
      </c>
      <c r="AC73" s="12">
        <f t="shared" si="61"/>
        <v>1</v>
      </c>
      <c r="AD73" s="12">
        <f t="shared" si="42"/>
        <v>1</v>
      </c>
      <c r="AE73" s="12">
        <f t="shared" si="43"/>
        <v>1</v>
      </c>
      <c r="AF73" s="12">
        <f t="shared" si="44"/>
        <v>1</v>
      </c>
      <c r="AG73" s="12">
        <f t="shared" si="45"/>
        <v>1</v>
      </c>
      <c r="AH73" s="12">
        <f t="shared" si="46"/>
        <v>1</v>
      </c>
      <c r="AI73" s="12">
        <f t="shared" si="47"/>
        <v>1</v>
      </c>
      <c r="AJ73" s="12">
        <f t="shared" si="48"/>
        <v>1</v>
      </c>
      <c r="AK73" s="12">
        <f t="shared" si="49"/>
        <v>1</v>
      </c>
      <c r="AL73" s="12">
        <f t="shared" si="50"/>
        <v>1</v>
      </c>
      <c r="AM73" s="12">
        <f t="shared" si="62"/>
        <v>1</v>
      </c>
      <c r="AN73" s="12">
        <f t="shared" si="63"/>
        <v>1</v>
      </c>
      <c r="AO73" s="12">
        <f t="shared" si="64"/>
        <v>1</v>
      </c>
      <c r="AP73" s="12">
        <f t="shared" si="65"/>
        <v>1</v>
      </c>
      <c r="AQ73" s="12">
        <f t="shared" si="66"/>
        <v>1</v>
      </c>
      <c r="AR73" s="12">
        <f t="shared" si="67"/>
        <v>1</v>
      </c>
      <c r="AS73" s="12" cm="1">
        <f t="array" ref="AS73">IF(AND(H73&lt;&gt;"",SUMPRODUCT(--ISNUMBER(FIND({0;1;2;3;4;5;6;7;8;9},H73)))=0),1,0)</f>
        <v>1</v>
      </c>
      <c r="AT73" s="12" cm="1">
        <f t="array" ref="AT73">IF(AND(I73&lt;&gt;"",SUMPRODUCT(--ISNUMBER(FIND({0;1;2;3;4;5;6;7;8;9},I73)))=0),1,0)</f>
        <v>1</v>
      </c>
      <c r="AU73" s="12" cm="1">
        <f t="array" ref="AU73">IF(AND(J73&lt;&gt;"",SUMPRODUCT(--ISNUMBER(FIND({0;1;2;3;4;5;6;7;8;9},J73)))=0),1,0)</f>
        <v>1</v>
      </c>
      <c r="AV73" s="12">
        <f t="shared" si="51"/>
        <v>1</v>
      </c>
      <c r="AW73" s="12">
        <f t="shared" ca="1" si="68"/>
        <v>1</v>
      </c>
      <c r="AX73" s="12">
        <f t="shared" si="69"/>
        <v>1</v>
      </c>
      <c r="AY73" s="12">
        <f t="shared" si="70"/>
        <v>1</v>
      </c>
      <c r="AZ73" s="12">
        <f t="shared" si="71"/>
        <v>1</v>
      </c>
      <c r="BA73" s="12">
        <f t="shared" si="72"/>
        <v>1</v>
      </c>
      <c r="BB73" s="12">
        <f t="shared" si="73"/>
        <v>1</v>
      </c>
      <c r="BC73" s="12">
        <f t="shared" ca="1" si="74"/>
        <v>1</v>
      </c>
      <c r="BD73" s="12">
        <f t="shared" si="75"/>
        <v>1</v>
      </c>
      <c r="BE73" s="12">
        <f t="shared" si="76"/>
        <v>1</v>
      </c>
      <c r="BF73" s="12">
        <f t="shared" si="77"/>
        <v>1</v>
      </c>
      <c r="BG73" s="12">
        <f t="shared" ca="1" si="78"/>
        <v>1</v>
      </c>
    </row>
    <row r="74" spans="1:59" ht="15.75" customHeight="1" x14ac:dyDescent="0.2">
      <c r="A74" s="19">
        <f t="shared" si="52"/>
        <v>1</v>
      </c>
      <c r="B74" s="20">
        <f t="shared" si="53"/>
        <v>1</v>
      </c>
      <c r="C74" s="20">
        <f t="shared" ca="1" si="54"/>
        <v>1</v>
      </c>
      <c r="D74" s="50">
        <f t="shared" ca="1" si="41"/>
        <v>0</v>
      </c>
      <c r="E74" s="11" t="s">
        <v>416</v>
      </c>
      <c r="F74" s="11" t="s">
        <v>137</v>
      </c>
      <c r="G74" s="11">
        <v>1000000073</v>
      </c>
      <c r="H74" s="11" t="s">
        <v>321</v>
      </c>
      <c r="I74" s="11" t="s">
        <v>195</v>
      </c>
      <c r="J74" s="11" t="s">
        <v>162</v>
      </c>
      <c r="K74" s="11" t="s">
        <v>185</v>
      </c>
      <c r="L74" s="70">
        <v>29498</v>
      </c>
      <c r="M74" s="11" t="s">
        <v>417</v>
      </c>
      <c r="N74" s="11">
        <v>3582613690</v>
      </c>
      <c r="O74" s="11" t="s">
        <v>418</v>
      </c>
      <c r="P74" s="11" t="s">
        <v>217</v>
      </c>
      <c r="Q74" s="11" t="s">
        <v>218</v>
      </c>
      <c r="R74" s="68">
        <v>44891</v>
      </c>
      <c r="S74" s="11" t="s">
        <v>174</v>
      </c>
      <c r="T74" s="11" t="s">
        <v>158</v>
      </c>
      <c r="U74" s="11">
        <v>95000</v>
      </c>
      <c r="V74" s="68">
        <v>45167</v>
      </c>
      <c r="W74" s="12">
        <f t="shared" si="55"/>
        <v>1</v>
      </c>
      <c r="X74" s="12">
        <f t="shared" si="56"/>
        <v>1</v>
      </c>
      <c r="Y74" s="12">
        <f t="shared" si="57"/>
        <v>1</v>
      </c>
      <c r="Z74" s="12">
        <f t="shared" si="58"/>
        <v>1</v>
      </c>
      <c r="AA74" s="12">
        <f t="shared" si="59"/>
        <v>1</v>
      </c>
      <c r="AB74" s="12">
        <f t="shared" si="60"/>
        <v>1</v>
      </c>
      <c r="AC74" s="12">
        <f t="shared" si="61"/>
        <v>1</v>
      </c>
      <c r="AD74" s="12">
        <f t="shared" si="42"/>
        <v>1</v>
      </c>
      <c r="AE74" s="12">
        <f t="shared" si="43"/>
        <v>1</v>
      </c>
      <c r="AF74" s="12">
        <f t="shared" si="44"/>
        <v>1</v>
      </c>
      <c r="AG74" s="12">
        <f t="shared" si="45"/>
        <v>1</v>
      </c>
      <c r="AH74" s="12">
        <f t="shared" si="46"/>
        <v>1</v>
      </c>
      <c r="AI74" s="12">
        <f t="shared" si="47"/>
        <v>1</v>
      </c>
      <c r="AJ74" s="12">
        <f t="shared" si="48"/>
        <v>1</v>
      </c>
      <c r="AK74" s="12">
        <f t="shared" si="49"/>
        <v>1</v>
      </c>
      <c r="AL74" s="12">
        <f t="shared" si="50"/>
        <v>1</v>
      </c>
      <c r="AM74" s="12">
        <f t="shared" si="62"/>
        <v>1</v>
      </c>
      <c r="AN74" s="12">
        <f t="shared" si="63"/>
        <v>1</v>
      </c>
      <c r="AO74" s="12">
        <f t="shared" si="64"/>
        <v>1</v>
      </c>
      <c r="AP74" s="12">
        <f t="shared" si="65"/>
        <v>1</v>
      </c>
      <c r="AQ74" s="12">
        <f t="shared" si="66"/>
        <v>1</v>
      </c>
      <c r="AR74" s="12">
        <f t="shared" si="67"/>
        <v>1</v>
      </c>
      <c r="AS74" s="12" cm="1">
        <f t="array" ref="AS74">IF(AND(H74&lt;&gt;"",SUMPRODUCT(--ISNUMBER(FIND({0;1;2;3;4;5;6;7;8;9},H74)))=0),1,0)</f>
        <v>1</v>
      </c>
      <c r="AT74" s="12" cm="1">
        <f t="array" ref="AT74">IF(AND(I74&lt;&gt;"",SUMPRODUCT(--ISNUMBER(FIND({0;1;2;3;4;5;6;7;8;9},I74)))=0),1,0)</f>
        <v>1</v>
      </c>
      <c r="AU74" s="12" cm="1">
        <f t="array" ref="AU74">IF(AND(J74&lt;&gt;"",SUMPRODUCT(--ISNUMBER(FIND({0;1;2;3;4;5;6;7;8;9},J74)))=0),1,0)</f>
        <v>1</v>
      </c>
      <c r="AV74" s="12">
        <f t="shared" si="51"/>
        <v>1</v>
      </c>
      <c r="AW74" s="12">
        <f t="shared" ca="1" si="68"/>
        <v>1</v>
      </c>
      <c r="AX74" s="12">
        <f t="shared" si="69"/>
        <v>1</v>
      </c>
      <c r="AY74" s="12">
        <f t="shared" si="70"/>
        <v>1</v>
      </c>
      <c r="AZ74" s="12">
        <f t="shared" si="71"/>
        <v>1</v>
      </c>
      <c r="BA74" s="12">
        <f t="shared" si="72"/>
        <v>1</v>
      </c>
      <c r="BB74" s="12">
        <f t="shared" si="73"/>
        <v>1</v>
      </c>
      <c r="BC74" s="12">
        <f t="shared" ca="1" si="74"/>
        <v>1</v>
      </c>
      <c r="BD74" s="12">
        <f t="shared" si="75"/>
        <v>1</v>
      </c>
      <c r="BE74" s="12">
        <f t="shared" si="76"/>
        <v>1</v>
      </c>
      <c r="BF74" s="12">
        <f t="shared" si="77"/>
        <v>1</v>
      </c>
      <c r="BG74" s="12">
        <f t="shared" ca="1" si="78"/>
        <v>1</v>
      </c>
    </row>
    <row r="75" spans="1:59" ht="15.75" customHeight="1" x14ac:dyDescent="0.2">
      <c r="A75" s="19">
        <f t="shared" si="52"/>
        <v>1</v>
      </c>
      <c r="B75" s="20">
        <f t="shared" si="53"/>
        <v>1</v>
      </c>
      <c r="C75" s="20">
        <f t="shared" ca="1" si="54"/>
        <v>1</v>
      </c>
      <c r="D75" s="50">
        <f t="shared" ca="1" si="41"/>
        <v>0</v>
      </c>
      <c r="E75" s="11" t="s">
        <v>419</v>
      </c>
      <c r="F75" s="11" t="s">
        <v>149</v>
      </c>
      <c r="G75" s="11">
        <v>1000000074</v>
      </c>
      <c r="H75" s="11" t="s">
        <v>274</v>
      </c>
      <c r="I75" s="11" t="s">
        <v>221</v>
      </c>
      <c r="J75" s="11" t="s">
        <v>139</v>
      </c>
      <c r="K75" s="11" t="s">
        <v>141</v>
      </c>
      <c r="L75" s="70">
        <v>33050</v>
      </c>
      <c r="M75" s="11" t="s">
        <v>420</v>
      </c>
      <c r="N75" s="11">
        <v>3260243001</v>
      </c>
      <c r="O75" s="11" t="s">
        <v>421</v>
      </c>
      <c r="P75" s="11" t="s">
        <v>155</v>
      </c>
      <c r="Q75" s="11" t="s">
        <v>156</v>
      </c>
      <c r="R75" s="68">
        <v>44574</v>
      </c>
      <c r="S75" s="11" t="s">
        <v>146</v>
      </c>
      <c r="T75" s="11" t="s">
        <v>158</v>
      </c>
      <c r="U75" s="11">
        <v>85000</v>
      </c>
      <c r="V75" s="68">
        <v>44766</v>
      </c>
      <c r="W75" s="12">
        <f t="shared" si="55"/>
        <v>1</v>
      </c>
      <c r="X75" s="12">
        <f t="shared" si="56"/>
        <v>1</v>
      </c>
      <c r="Y75" s="12">
        <f t="shared" si="57"/>
        <v>1</v>
      </c>
      <c r="Z75" s="12">
        <f t="shared" si="58"/>
        <v>1</v>
      </c>
      <c r="AA75" s="12">
        <f t="shared" si="59"/>
        <v>1</v>
      </c>
      <c r="AB75" s="12">
        <f t="shared" si="60"/>
        <v>1</v>
      </c>
      <c r="AC75" s="12">
        <f t="shared" si="61"/>
        <v>1</v>
      </c>
      <c r="AD75" s="12">
        <f t="shared" si="42"/>
        <v>1</v>
      </c>
      <c r="AE75" s="12">
        <f t="shared" si="43"/>
        <v>1</v>
      </c>
      <c r="AF75" s="12">
        <f t="shared" si="44"/>
        <v>1</v>
      </c>
      <c r="AG75" s="12">
        <f t="shared" si="45"/>
        <v>1</v>
      </c>
      <c r="AH75" s="12">
        <f t="shared" si="46"/>
        <v>1</v>
      </c>
      <c r="AI75" s="12">
        <f t="shared" si="47"/>
        <v>1</v>
      </c>
      <c r="AJ75" s="12">
        <f t="shared" si="48"/>
        <v>1</v>
      </c>
      <c r="AK75" s="12">
        <f t="shared" si="49"/>
        <v>1</v>
      </c>
      <c r="AL75" s="12">
        <f t="shared" si="50"/>
        <v>1</v>
      </c>
      <c r="AM75" s="12">
        <f t="shared" si="62"/>
        <v>1</v>
      </c>
      <c r="AN75" s="12">
        <f t="shared" si="63"/>
        <v>1</v>
      </c>
      <c r="AO75" s="12">
        <f t="shared" si="64"/>
        <v>1</v>
      </c>
      <c r="AP75" s="12">
        <f t="shared" si="65"/>
        <v>1</v>
      </c>
      <c r="AQ75" s="12">
        <f t="shared" si="66"/>
        <v>1</v>
      </c>
      <c r="AR75" s="12">
        <f t="shared" si="67"/>
        <v>1</v>
      </c>
      <c r="AS75" s="12" cm="1">
        <f t="array" ref="AS75">IF(AND(H75&lt;&gt;"",SUMPRODUCT(--ISNUMBER(FIND({0;1;2;3;4;5;6;7;8;9},H75)))=0),1,0)</f>
        <v>1</v>
      </c>
      <c r="AT75" s="12" cm="1">
        <f t="array" ref="AT75">IF(AND(I75&lt;&gt;"",SUMPRODUCT(--ISNUMBER(FIND({0;1;2;3;4;5;6;7;8;9},I75)))=0),1,0)</f>
        <v>1</v>
      </c>
      <c r="AU75" s="12" cm="1">
        <f t="array" ref="AU75">IF(AND(J75&lt;&gt;"",SUMPRODUCT(--ISNUMBER(FIND({0;1;2;3;4;5;6;7;8;9},J75)))=0),1,0)</f>
        <v>1</v>
      </c>
      <c r="AV75" s="12">
        <f t="shared" si="51"/>
        <v>1</v>
      </c>
      <c r="AW75" s="12">
        <f t="shared" ca="1" si="68"/>
        <v>1</v>
      </c>
      <c r="AX75" s="12">
        <f t="shared" si="69"/>
        <v>1</v>
      </c>
      <c r="AY75" s="12">
        <f t="shared" si="70"/>
        <v>1</v>
      </c>
      <c r="AZ75" s="12">
        <f t="shared" si="71"/>
        <v>1</v>
      </c>
      <c r="BA75" s="12">
        <f t="shared" si="72"/>
        <v>1</v>
      </c>
      <c r="BB75" s="12">
        <f t="shared" si="73"/>
        <v>1</v>
      </c>
      <c r="BC75" s="12">
        <f t="shared" ca="1" si="74"/>
        <v>1</v>
      </c>
      <c r="BD75" s="12">
        <f t="shared" si="75"/>
        <v>1</v>
      </c>
      <c r="BE75" s="12">
        <f t="shared" si="76"/>
        <v>1</v>
      </c>
      <c r="BF75" s="12">
        <f t="shared" si="77"/>
        <v>1</v>
      </c>
      <c r="BG75" s="12">
        <f t="shared" ca="1" si="78"/>
        <v>1</v>
      </c>
    </row>
    <row r="76" spans="1:59" ht="15.75" customHeight="1" x14ac:dyDescent="0.2">
      <c r="A76" s="19">
        <f t="shared" si="52"/>
        <v>1</v>
      </c>
      <c r="B76" s="20">
        <f t="shared" si="53"/>
        <v>1</v>
      </c>
      <c r="C76" s="20">
        <f t="shared" ca="1" si="54"/>
        <v>1</v>
      </c>
      <c r="D76" s="50">
        <f t="shared" ca="1" si="41"/>
        <v>0</v>
      </c>
      <c r="E76" s="11" t="s">
        <v>422</v>
      </c>
      <c r="F76" s="11" t="s">
        <v>149</v>
      </c>
      <c r="G76" s="11">
        <v>1000000075</v>
      </c>
      <c r="H76" s="11" t="s">
        <v>207</v>
      </c>
      <c r="I76" s="11" t="s">
        <v>231</v>
      </c>
      <c r="J76" s="11" t="s">
        <v>152</v>
      </c>
      <c r="K76" s="11" t="s">
        <v>141</v>
      </c>
      <c r="L76" s="70">
        <v>24518</v>
      </c>
      <c r="M76" s="11" t="s">
        <v>423</v>
      </c>
      <c r="N76" s="11">
        <v>3115725141</v>
      </c>
      <c r="O76" s="11" t="s">
        <v>424</v>
      </c>
      <c r="P76" s="11" t="s">
        <v>179</v>
      </c>
      <c r="Q76" s="11" t="s">
        <v>180</v>
      </c>
      <c r="R76" s="68">
        <v>44627</v>
      </c>
      <c r="S76" s="11" t="s">
        <v>146</v>
      </c>
      <c r="T76" s="11" t="s">
        <v>147</v>
      </c>
      <c r="U76" s="11">
        <v>85000</v>
      </c>
      <c r="V76" s="68">
        <v>44813</v>
      </c>
      <c r="W76" s="12">
        <f t="shared" si="55"/>
        <v>1</v>
      </c>
      <c r="X76" s="12">
        <f t="shared" si="56"/>
        <v>1</v>
      </c>
      <c r="Y76" s="12">
        <f t="shared" si="57"/>
        <v>1</v>
      </c>
      <c r="Z76" s="12">
        <f t="shared" si="58"/>
        <v>1</v>
      </c>
      <c r="AA76" s="12">
        <f t="shared" si="59"/>
        <v>1</v>
      </c>
      <c r="AB76" s="12">
        <f t="shared" si="60"/>
        <v>1</v>
      </c>
      <c r="AC76" s="12">
        <f t="shared" si="61"/>
        <v>1</v>
      </c>
      <c r="AD76" s="12">
        <f t="shared" si="42"/>
        <v>1</v>
      </c>
      <c r="AE76" s="12">
        <f t="shared" si="43"/>
        <v>1</v>
      </c>
      <c r="AF76" s="12">
        <f t="shared" si="44"/>
        <v>1</v>
      </c>
      <c r="AG76" s="12">
        <f t="shared" si="45"/>
        <v>1</v>
      </c>
      <c r="AH76" s="12">
        <f t="shared" si="46"/>
        <v>1</v>
      </c>
      <c r="AI76" s="12">
        <f t="shared" si="47"/>
        <v>1</v>
      </c>
      <c r="AJ76" s="12">
        <f t="shared" si="48"/>
        <v>1</v>
      </c>
      <c r="AK76" s="12">
        <f t="shared" si="49"/>
        <v>1</v>
      </c>
      <c r="AL76" s="12">
        <f t="shared" si="50"/>
        <v>1</v>
      </c>
      <c r="AM76" s="12">
        <f t="shared" si="62"/>
        <v>1</v>
      </c>
      <c r="AN76" s="12">
        <f t="shared" si="63"/>
        <v>1</v>
      </c>
      <c r="AO76" s="12">
        <f t="shared" si="64"/>
        <v>1</v>
      </c>
      <c r="AP76" s="12">
        <f t="shared" si="65"/>
        <v>1</v>
      </c>
      <c r="AQ76" s="12">
        <f t="shared" si="66"/>
        <v>1</v>
      </c>
      <c r="AR76" s="12">
        <f t="shared" si="67"/>
        <v>1</v>
      </c>
      <c r="AS76" s="12" cm="1">
        <f t="array" ref="AS76">IF(AND(H76&lt;&gt;"",SUMPRODUCT(--ISNUMBER(FIND({0;1;2;3;4;5;6;7;8;9},H76)))=0),1,0)</f>
        <v>1</v>
      </c>
      <c r="AT76" s="12" cm="1">
        <f t="array" ref="AT76">IF(AND(I76&lt;&gt;"",SUMPRODUCT(--ISNUMBER(FIND({0;1;2;3;4;5;6;7;8;9},I76)))=0),1,0)</f>
        <v>1</v>
      </c>
      <c r="AU76" s="12" cm="1">
        <f t="array" ref="AU76">IF(AND(J76&lt;&gt;"",SUMPRODUCT(--ISNUMBER(FIND({0;1;2;3;4;5;6;7;8;9},J76)))=0),1,0)</f>
        <v>1</v>
      </c>
      <c r="AV76" s="12">
        <f t="shared" si="51"/>
        <v>1</v>
      </c>
      <c r="AW76" s="12">
        <f t="shared" ca="1" si="68"/>
        <v>1</v>
      </c>
      <c r="AX76" s="12">
        <f t="shared" si="69"/>
        <v>1</v>
      </c>
      <c r="AY76" s="12">
        <f t="shared" si="70"/>
        <v>1</v>
      </c>
      <c r="AZ76" s="12">
        <f t="shared" si="71"/>
        <v>1</v>
      </c>
      <c r="BA76" s="12">
        <f t="shared" si="72"/>
        <v>1</v>
      </c>
      <c r="BB76" s="12">
        <f t="shared" si="73"/>
        <v>1</v>
      </c>
      <c r="BC76" s="12">
        <f t="shared" ca="1" si="74"/>
        <v>1</v>
      </c>
      <c r="BD76" s="12">
        <f t="shared" si="75"/>
        <v>1</v>
      </c>
      <c r="BE76" s="12">
        <f t="shared" si="76"/>
        <v>1</v>
      </c>
      <c r="BF76" s="12">
        <f t="shared" si="77"/>
        <v>1</v>
      </c>
      <c r="BG76" s="12">
        <f t="shared" ca="1" si="78"/>
        <v>1</v>
      </c>
    </row>
    <row r="77" spans="1:59" ht="15.75" customHeight="1" x14ac:dyDescent="0.2">
      <c r="A77" s="19">
        <f t="shared" si="52"/>
        <v>1</v>
      </c>
      <c r="B77" s="20">
        <f t="shared" si="53"/>
        <v>1</v>
      </c>
      <c r="C77" s="20">
        <f t="shared" ca="1" si="54"/>
        <v>1</v>
      </c>
      <c r="D77" s="50">
        <f t="shared" ca="1" si="41"/>
        <v>0</v>
      </c>
      <c r="E77" s="11" t="s">
        <v>425</v>
      </c>
      <c r="F77" s="11" t="s">
        <v>149</v>
      </c>
      <c r="G77" s="11">
        <v>1000000076</v>
      </c>
      <c r="H77" s="11" t="s">
        <v>255</v>
      </c>
      <c r="I77" s="11" t="s">
        <v>184</v>
      </c>
      <c r="J77" s="11" t="s">
        <v>194</v>
      </c>
      <c r="K77" s="11" t="s">
        <v>141</v>
      </c>
      <c r="L77" s="70">
        <v>26822</v>
      </c>
      <c r="M77" s="11" t="s">
        <v>426</v>
      </c>
      <c r="N77" s="11">
        <v>3699095770</v>
      </c>
      <c r="O77" s="11" t="s">
        <v>427</v>
      </c>
      <c r="P77" s="11" t="s">
        <v>179</v>
      </c>
      <c r="Q77" s="11" t="s">
        <v>180</v>
      </c>
      <c r="R77" s="68">
        <v>45778</v>
      </c>
      <c r="S77" s="11" t="s">
        <v>146</v>
      </c>
      <c r="T77" s="11" t="s">
        <v>166</v>
      </c>
      <c r="U77" s="11">
        <v>95000</v>
      </c>
      <c r="V77" s="68">
        <v>45981</v>
      </c>
      <c r="W77" s="12">
        <f t="shared" si="55"/>
        <v>1</v>
      </c>
      <c r="X77" s="12">
        <f t="shared" si="56"/>
        <v>1</v>
      </c>
      <c r="Y77" s="12">
        <f t="shared" si="57"/>
        <v>1</v>
      </c>
      <c r="Z77" s="12">
        <f t="shared" si="58"/>
        <v>1</v>
      </c>
      <c r="AA77" s="12">
        <f t="shared" si="59"/>
        <v>1</v>
      </c>
      <c r="AB77" s="12">
        <f t="shared" si="60"/>
        <v>1</v>
      </c>
      <c r="AC77" s="12">
        <f t="shared" si="61"/>
        <v>1</v>
      </c>
      <c r="AD77" s="12">
        <f t="shared" si="42"/>
        <v>1</v>
      </c>
      <c r="AE77" s="12">
        <f t="shared" si="43"/>
        <v>1</v>
      </c>
      <c r="AF77" s="12">
        <f t="shared" si="44"/>
        <v>1</v>
      </c>
      <c r="AG77" s="12">
        <f t="shared" si="45"/>
        <v>1</v>
      </c>
      <c r="AH77" s="12">
        <f t="shared" si="46"/>
        <v>1</v>
      </c>
      <c r="AI77" s="12">
        <f t="shared" si="47"/>
        <v>1</v>
      </c>
      <c r="AJ77" s="12">
        <f t="shared" si="48"/>
        <v>1</v>
      </c>
      <c r="AK77" s="12">
        <f t="shared" si="49"/>
        <v>1</v>
      </c>
      <c r="AL77" s="12">
        <f t="shared" si="50"/>
        <v>1</v>
      </c>
      <c r="AM77" s="12">
        <f t="shared" si="62"/>
        <v>1</v>
      </c>
      <c r="AN77" s="12">
        <f t="shared" si="63"/>
        <v>1</v>
      </c>
      <c r="AO77" s="12">
        <f t="shared" si="64"/>
        <v>1</v>
      </c>
      <c r="AP77" s="12">
        <f t="shared" si="65"/>
        <v>1</v>
      </c>
      <c r="AQ77" s="12">
        <f t="shared" si="66"/>
        <v>1</v>
      </c>
      <c r="AR77" s="12">
        <f t="shared" si="67"/>
        <v>1</v>
      </c>
      <c r="AS77" s="12" cm="1">
        <f t="array" ref="AS77">IF(AND(H77&lt;&gt;"",SUMPRODUCT(--ISNUMBER(FIND({0;1;2;3;4;5;6;7;8;9},H77)))=0),1,0)</f>
        <v>1</v>
      </c>
      <c r="AT77" s="12" cm="1">
        <f t="array" ref="AT77">IF(AND(I77&lt;&gt;"",SUMPRODUCT(--ISNUMBER(FIND({0;1;2;3;4;5;6;7;8;9},I77)))=0),1,0)</f>
        <v>1</v>
      </c>
      <c r="AU77" s="12" cm="1">
        <f t="array" ref="AU77">IF(AND(J77&lt;&gt;"",SUMPRODUCT(--ISNUMBER(FIND({0;1;2;3;4;5;6;7;8;9},J77)))=0),1,0)</f>
        <v>1</v>
      </c>
      <c r="AV77" s="12">
        <f t="shared" si="51"/>
        <v>1</v>
      </c>
      <c r="AW77" s="12">
        <f t="shared" ca="1" si="68"/>
        <v>1</v>
      </c>
      <c r="AX77" s="12">
        <f t="shared" si="69"/>
        <v>1</v>
      </c>
      <c r="AY77" s="12">
        <f t="shared" si="70"/>
        <v>1</v>
      </c>
      <c r="AZ77" s="12">
        <f t="shared" si="71"/>
        <v>1</v>
      </c>
      <c r="BA77" s="12">
        <f t="shared" si="72"/>
        <v>1</v>
      </c>
      <c r="BB77" s="12">
        <f t="shared" si="73"/>
        <v>1</v>
      </c>
      <c r="BC77" s="12">
        <f t="shared" ca="1" si="74"/>
        <v>1</v>
      </c>
      <c r="BD77" s="12">
        <f t="shared" si="75"/>
        <v>1</v>
      </c>
      <c r="BE77" s="12">
        <f t="shared" si="76"/>
        <v>1</v>
      </c>
      <c r="BF77" s="12">
        <f t="shared" si="77"/>
        <v>1</v>
      </c>
      <c r="BG77" s="12">
        <f t="shared" ca="1" si="78"/>
        <v>1</v>
      </c>
    </row>
    <row r="78" spans="1:59" ht="15.75" customHeight="1" x14ac:dyDescent="0.2">
      <c r="A78" s="19">
        <f t="shared" si="52"/>
        <v>1</v>
      </c>
      <c r="B78" s="20">
        <f t="shared" si="53"/>
        <v>1</v>
      </c>
      <c r="C78" s="20">
        <f t="shared" ca="1" si="54"/>
        <v>1</v>
      </c>
      <c r="D78" s="50">
        <f t="shared" ca="1" si="41"/>
        <v>0</v>
      </c>
      <c r="E78" s="11" t="s">
        <v>428</v>
      </c>
      <c r="F78" s="11" t="s">
        <v>149</v>
      </c>
      <c r="G78" s="11">
        <v>1000000077</v>
      </c>
      <c r="H78" s="11" t="s">
        <v>274</v>
      </c>
      <c r="I78" s="11" t="s">
        <v>183</v>
      </c>
      <c r="J78" s="11" t="s">
        <v>260</v>
      </c>
      <c r="K78" s="11" t="s">
        <v>141</v>
      </c>
      <c r="L78" s="70">
        <v>24344</v>
      </c>
      <c r="M78" s="11" t="s">
        <v>429</v>
      </c>
      <c r="N78" s="11">
        <v>3265597992</v>
      </c>
      <c r="O78" s="11" t="s">
        <v>430</v>
      </c>
      <c r="P78" s="11" t="s">
        <v>165</v>
      </c>
      <c r="Q78" s="11" t="s">
        <v>156</v>
      </c>
      <c r="R78" s="68">
        <v>45539</v>
      </c>
      <c r="S78" s="11" t="s">
        <v>157</v>
      </c>
      <c r="T78" s="11" t="s">
        <v>166</v>
      </c>
      <c r="U78" s="11">
        <v>90000</v>
      </c>
      <c r="V78" s="68">
        <v>45844</v>
      </c>
      <c r="W78" s="12">
        <f t="shared" si="55"/>
        <v>1</v>
      </c>
      <c r="X78" s="12">
        <f t="shared" si="56"/>
        <v>1</v>
      </c>
      <c r="Y78" s="12">
        <f t="shared" si="57"/>
        <v>1</v>
      </c>
      <c r="Z78" s="12">
        <f t="shared" si="58"/>
        <v>1</v>
      </c>
      <c r="AA78" s="12">
        <f t="shared" si="59"/>
        <v>1</v>
      </c>
      <c r="AB78" s="12">
        <f t="shared" si="60"/>
        <v>1</v>
      </c>
      <c r="AC78" s="12">
        <f t="shared" si="61"/>
        <v>1</v>
      </c>
      <c r="AD78" s="12">
        <f t="shared" si="42"/>
        <v>1</v>
      </c>
      <c r="AE78" s="12">
        <f t="shared" si="43"/>
        <v>1</v>
      </c>
      <c r="AF78" s="12">
        <f t="shared" si="44"/>
        <v>1</v>
      </c>
      <c r="AG78" s="12">
        <f t="shared" si="45"/>
        <v>1</v>
      </c>
      <c r="AH78" s="12">
        <f t="shared" si="46"/>
        <v>1</v>
      </c>
      <c r="AI78" s="12">
        <f t="shared" si="47"/>
        <v>1</v>
      </c>
      <c r="AJ78" s="12">
        <f t="shared" si="48"/>
        <v>1</v>
      </c>
      <c r="AK78" s="12">
        <f t="shared" si="49"/>
        <v>1</v>
      </c>
      <c r="AL78" s="12">
        <f t="shared" si="50"/>
        <v>1</v>
      </c>
      <c r="AM78" s="12">
        <f t="shared" si="62"/>
        <v>1</v>
      </c>
      <c r="AN78" s="12">
        <f t="shared" si="63"/>
        <v>1</v>
      </c>
      <c r="AO78" s="12">
        <f t="shared" si="64"/>
        <v>1</v>
      </c>
      <c r="AP78" s="12">
        <f t="shared" si="65"/>
        <v>1</v>
      </c>
      <c r="AQ78" s="12">
        <f t="shared" si="66"/>
        <v>1</v>
      </c>
      <c r="AR78" s="12">
        <f t="shared" si="67"/>
        <v>1</v>
      </c>
      <c r="AS78" s="12" cm="1">
        <f t="array" ref="AS78">IF(AND(H78&lt;&gt;"",SUMPRODUCT(--ISNUMBER(FIND({0;1;2;3;4;5;6;7;8;9},H78)))=0),1,0)</f>
        <v>1</v>
      </c>
      <c r="AT78" s="12" cm="1">
        <f t="array" ref="AT78">IF(AND(I78&lt;&gt;"",SUMPRODUCT(--ISNUMBER(FIND({0;1;2;3;4;5;6;7;8;9},I78)))=0),1,0)</f>
        <v>1</v>
      </c>
      <c r="AU78" s="12" cm="1">
        <f t="array" ref="AU78">IF(AND(J78&lt;&gt;"",SUMPRODUCT(--ISNUMBER(FIND({0;1;2;3;4;5;6;7;8;9},J78)))=0),1,0)</f>
        <v>1</v>
      </c>
      <c r="AV78" s="12">
        <f t="shared" si="51"/>
        <v>1</v>
      </c>
      <c r="AW78" s="12">
        <f t="shared" ca="1" si="68"/>
        <v>1</v>
      </c>
      <c r="AX78" s="12">
        <f t="shared" si="69"/>
        <v>1</v>
      </c>
      <c r="AY78" s="12">
        <f t="shared" si="70"/>
        <v>1</v>
      </c>
      <c r="AZ78" s="12">
        <f t="shared" si="71"/>
        <v>1</v>
      </c>
      <c r="BA78" s="12">
        <f t="shared" si="72"/>
        <v>1</v>
      </c>
      <c r="BB78" s="12">
        <f t="shared" si="73"/>
        <v>1</v>
      </c>
      <c r="BC78" s="12">
        <f t="shared" ca="1" si="74"/>
        <v>1</v>
      </c>
      <c r="BD78" s="12">
        <f t="shared" si="75"/>
        <v>1</v>
      </c>
      <c r="BE78" s="12">
        <f t="shared" si="76"/>
        <v>1</v>
      </c>
      <c r="BF78" s="12">
        <f t="shared" si="77"/>
        <v>1</v>
      </c>
      <c r="BG78" s="12">
        <f t="shared" ca="1" si="78"/>
        <v>1</v>
      </c>
    </row>
    <row r="79" spans="1:59" ht="15.75" customHeight="1" x14ac:dyDescent="0.2">
      <c r="A79" s="19">
        <f t="shared" si="52"/>
        <v>1</v>
      </c>
      <c r="B79" s="20">
        <f t="shared" si="53"/>
        <v>1</v>
      </c>
      <c r="C79" s="20">
        <f t="shared" ca="1" si="54"/>
        <v>1</v>
      </c>
      <c r="D79" s="50">
        <f t="shared" ca="1" si="41"/>
        <v>0</v>
      </c>
      <c r="E79" s="11" t="s">
        <v>431</v>
      </c>
      <c r="F79" s="11" t="s">
        <v>160</v>
      </c>
      <c r="G79" s="11">
        <v>1000000078</v>
      </c>
      <c r="H79" s="11" t="s">
        <v>337</v>
      </c>
      <c r="I79" s="11" t="s">
        <v>168</v>
      </c>
      <c r="J79" s="11" t="s">
        <v>231</v>
      </c>
      <c r="K79" s="11" t="s">
        <v>185</v>
      </c>
      <c r="L79" s="70">
        <v>25485</v>
      </c>
      <c r="M79" s="11" t="s">
        <v>432</v>
      </c>
      <c r="N79" s="11">
        <v>3625911381</v>
      </c>
      <c r="O79" s="11" t="s">
        <v>433</v>
      </c>
      <c r="P79" s="11" t="s">
        <v>165</v>
      </c>
      <c r="Q79" s="11" t="s">
        <v>156</v>
      </c>
      <c r="R79" s="68">
        <v>44734</v>
      </c>
      <c r="S79" s="11" t="s">
        <v>174</v>
      </c>
      <c r="T79" s="11" t="s">
        <v>166</v>
      </c>
      <c r="U79" s="11">
        <v>95000</v>
      </c>
      <c r="V79" s="68">
        <v>44897</v>
      </c>
      <c r="W79" s="12">
        <f t="shared" si="55"/>
        <v>1</v>
      </c>
      <c r="X79" s="12">
        <f t="shared" si="56"/>
        <v>1</v>
      </c>
      <c r="Y79" s="12">
        <f t="shared" si="57"/>
        <v>1</v>
      </c>
      <c r="Z79" s="12">
        <f t="shared" si="58"/>
        <v>1</v>
      </c>
      <c r="AA79" s="12">
        <f t="shared" si="59"/>
        <v>1</v>
      </c>
      <c r="AB79" s="12">
        <f t="shared" si="60"/>
        <v>1</v>
      </c>
      <c r="AC79" s="12">
        <f t="shared" si="61"/>
        <v>1</v>
      </c>
      <c r="AD79" s="12">
        <f t="shared" si="42"/>
        <v>1</v>
      </c>
      <c r="AE79" s="12">
        <f t="shared" si="43"/>
        <v>1</v>
      </c>
      <c r="AF79" s="12">
        <f t="shared" si="44"/>
        <v>1</v>
      </c>
      <c r="AG79" s="12">
        <f t="shared" si="45"/>
        <v>1</v>
      </c>
      <c r="AH79" s="12">
        <f t="shared" si="46"/>
        <v>1</v>
      </c>
      <c r="AI79" s="12">
        <f t="shared" si="47"/>
        <v>1</v>
      </c>
      <c r="AJ79" s="12">
        <f t="shared" si="48"/>
        <v>1</v>
      </c>
      <c r="AK79" s="12">
        <f t="shared" si="49"/>
        <v>1</v>
      </c>
      <c r="AL79" s="12">
        <f t="shared" si="50"/>
        <v>1</v>
      </c>
      <c r="AM79" s="12">
        <f t="shared" si="62"/>
        <v>1</v>
      </c>
      <c r="AN79" s="12">
        <f t="shared" si="63"/>
        <v>1</v>
      </c>
      <c r="AO79" s="12">
        <f t="shared" si="64"/>
        <v>1</v>
      </c>
      <c r="AP79" s="12">
        <f t="shared" si="65"/>
        <v>1</v>
      </c>
      <c r="AQ79" s="12">
        <f t="shared" si="66"/>
        <v>1</v>
      </c>
      <c r="AR79" s="12">
        <f t="shared" si="67"/>
        <v>1</v>
      </c>
      <c r="AS79" s="12" cm="1">
        <f t="array" ref="AS79">IF(AND(H79&lt;&gt;"",SUMPRODUCT(--ISNUMBER(FIND({0;1;2;3;4;5;6;7;8;9},H79)))=0),1,0)</f>
        <v>1</v>
      </c>
      <c r="AT79" s="12" cm="1">
        <f t="array" ref="AT79">IF(AND(I79&lt;&gt;"",SUMPRODUCT(--ISNUMBER(FIND({0;1;2;3;4;5;6;7;8;9},I79)))=0),1,0)</f>
        <v>1</v>
      </c>
      <c r="AU79" s="12" cm="1">
        <f t="array" ref="AU79">IF(AND(J79&lt;&gt;"",SUMPRODUCT(--ISNUMBER(FIND({0;1;2;3;4;5;6;7;8;9},J79)))=0),1,0)</f>
        <v>1</v>
      </c>
      <c r="AV79" s="12">
        <f t="shared" si="51"/>
        <v>1</v>
      </c>
      <c r="AW79" s="12">
        <f t="shared" ca="1" si="68"/>
        <v>1</v>
      </c>
      <c r="AX79" s="12">
        <f t="shared" si="69"/>
        <v>1</v>
      </c>
      <c r="AY79" s="12">
        <f t="shared" si="70"/>
        <v>1</v>
      </c>
      <c r="AZ79" s="12">
        <f t="shared" si="71"/>
        <v>1</v>
      </c>
      <c r="BA79" s="12">
        <f t="shared" si="72"/>
        <v>1</v>
      </c>
      <c r="BB79" s="12">
        <f t="shared" si="73"/>
        <v>1</v>
      </c>
      <c r="BC79" s="12">
        <f t="shared" ca="1" si="74"/>
        <v>1</v>
      </c>
      <c r="BD79" s="12">
        <f t="shared" si="75"/>
        <v>1</v>
      </c>
      <c r="BE79" s="12">
        <f t="shared" si="76"/>
        <v>1</v>
      </c>
      <c r="BF79" s="12">
        <f t="shared" si="77"/>
        <v>1</v>
      </c>
      <c r="BG79" s="12">
        <f t="shared" ca="1" si="78"/>
        <v>1</v>
      </c>
    </row>
    <row r="80" spans="1:59" ht="15.75" customHeight="1" x14ac:dyDescent="0.2">
      <c r="A80" s="19">
        <f t="shared" si="52"/>
        <v>1</v>
      </c>
      <c r="B80" s="20">
        <f t="shared" si="53"/>
        <v>1</v>
      </c>
      <c r="C80" s="20">
        <f t="shared" ca="1" si="54"/>
        <v>1</v>
      </c>
      <c r="D80" s="50">
        <f t="shared" ca="1" si="41"/>
        <v>0</v>
      </c>
      <c r="E80" s="11" t="s">
        <v>434</v>
      </c>
      <c r="F80" s="11" t="s">
        <v>137</v>
      </c>
      <c r="G80" s="11">
        <v>1000000079</v>
      </c>
      <c r="H80" s="11" t="s">
        <v>207</v>
      </c>
      <c r="I80" s="11" t="s">
        <v>139</v>
      </c>
      <c r="J80" s="11" t="s">
        <v>139</v>
      </c>
      <c r="K80" s="11" t="s">
        <v>141</v>
      </c>
      <c r="L80" s="70">
        <v>34676</v>
      </c>
      <c r="M80" s="11" t="s">
        <v>435</v>
      </c>
      <c r="N80" s="11">
        <v>3831123252</v>
      </c>
      <c r="O80" s="11" t="s">
        <v>436</v>
      </c>
      <c r="P80" s="11" t="s">
        <v>165</v>
      </c>
      <c r="Q80" s="11" t="s">
        <v>156</v>
      </c>
      <c r="R80" s="68">
        <v>45927</v>
      </c>
      <c r="S80" s="11" t="s">
        <v>174</v>
      </c>
      <c r="T80" s="11" t="s">
        <v>166</v>
      </c>
      <c r="U80" s="11">
        <v>90000</v>
      </c>
      <c r="V80" s="68">
        <v>45940</v>
      </c>
      <c r="W80" s="12">
        <f t="shared" si="55"/>
        <v>1</v>
      </c>
      <c r="X80" s="12">
        <f t="shared" si="56"/>
        <v>1</v>
      </c>
      <c r="Y80" s="12">
        <f t="shared" si="57"/>
        <v>1</v>
      </c>
      <c r="Z80" s="12">
        <f t="shared" si="58"/>
        <v>1</v>
      </c>
      <c r="AA80" s="12">
        <f t="shared" si="59"/>
        <v>1</v>
      </c>
      <c r="AB80" s="12">
        <f t="shared" si="60"/>
        <v>1</v>
      </c>
      <c r="AC80" s="12">
        <f t="shared" si="61"/>
        <v>1</v>
      </c>
      <c r="AD80" s="12">
        <f t="shared" si="42"/>
        <v>1</v>
      </c>
      <c r="AE80" s="12">
        <f t="shared" si="43"/>
        <v>1</v>
      </c>
      <c r="AF80" s="12">
        <f t="shared" si="44"/>
        <v>1</v>
      </c>
      <c r="AG80" s="12">
        <f t="shared" si="45"/>
        <v>1</v>
      </c>
      <c r="AH80" s="12">
        <f t="shared" si="46"/>
        <v>1</v>
      </c>
      <c r="AI80" s="12">
        <f t="shared" si="47"/>
        <v>1</v>
      </c>
      <c r="AJ80" s="12">
        <f t="shared" si="48"/>
        <v>1</v>
      </c>
      <c r="AK80" s="12">
        <f t="shared" si="49"/>
        <v>1</v>
      </c>
      <c r="AL80" s="12">
        <f t="shared" si="50"/>
        <v>1</v>
      </c>
      <c r="AM80" s="12">
        <f t="shared" si="62"/>
        <v>1</v>
      </c>
      <c r="AN80" s="12">
        <f t="shared" si="63"/>
        <v>1</v>
      </c>
      <c r="AO80" s="12">
        <f t="shared" si="64"/>
        <v>1</v>
      </c>
      <c r="AP80" s="12">
        <f t="shared" si="65"/>
        <v>1</v>
      </c>
      <c r="AQ80" s="12">
        <f t="shared" si="66"/>
        <v>1</v>
      </c>
      <c r="AR80" s="12">
        <f t="shared" si="67"/>
        <v>1</v>
      </c>
      <c r="AS80" s="12" cm="1">
        <f t="array" ref="AS80">IF(AND(H80&lt;&gt;"",SUMPRODUCT(--ISNUMBER(FIND({0;1;2;3;4;5;6;7;8;9},H80)))=0),1,0)</f>
        <v>1</v>
      </c>
      <c r="AT80" s="12" cm="1">
        <f t="array" ref="AT80">IF(AND(I80&lt;&gt;"",SUMPRODUCT(--ISNUMBER(FIND({0;1;2;3;4;5;6;7;8;9},I80)))=0),1,0)</f>
        <v>1</v>
      </c>
      <c r="AU80" s="12" cm="1">
        <f t="array" ref="AU80">IF(AND(J80&lt;&gt;"",SUMPRODUCT(--ISNUMBER(FIND({0;1;2;3;4;5;6;7;8;9},J80)))=0),1,0)</f>
        <v>1</v>
      </c>
      <c r="AV80" s="12">
        <f t="shared" si="51"/>
        <v>1</v>
      </c>
      <c r="AW80" s="12">
        <f t="shared" ca="1" si="68"/>
        <v>1</v>
      </c>
      <c r="AX80" s="12">
        <f t="shared" si="69"/>
        <v>1</v>
      </c>
      <c r="AY80" s="12">
        <f t="shared" si="70"/>
        <v>1</v>
      </c>
      <c r="AZ80" s="12">
        <f t="shared" si="71"/>
        <v>1</v>
      </c>
      <c r="BA80" s="12">
        <f t="shared" si="72"/>
        <v>1</v>
      </c>
      <c r="BB80" s="12">
        <f t="shared" si="73"/>
        <v>1</v>
      </c>
      <c r="BC80" s="12">
        <f t="shared" ca="1" si="74"/>
        <v>1</v>
      </c>
      <c r="BD80" s="12">
        <f t="shared" si="75"/>
        <v>1</v>
      </c>
      <c r="BE80" s="12">
        <f t="shared" si="76"/>
        <v>1</v>
      </c>
      <c r="BF80" s="12">
        <f t="shared" si="77"/>
        <v>1</v>
      </c>
      <c r="BG80" s="12">
        <f t="shared" ca="1" si="78"/>
        <v>1</v>
      </c>
    </row>
    <row r="81" spans="1:59" ht="15.75" customHeight="1" x14ac:dyDescent="0.2">
      <c r="A81" s="19">
        <f t="shared" si="52"/>
        <v>1</v>
      </c>
      <c r="B81" s="20">
        <f t="shared" si="53"/>
        <v>1</v>
      </c>
      <c r="C81" s="20">
        <f t="shared" ca="1" si="54"/>
        <v>1</v>
      </c>
      <c r="D81" s="50">
        <f t="shared" ca="1" si="41"/>
        <v>0</v>
      </c>
      <c r="E81" s="11" t="s">
        <v>437</v>
      </c>
      <c r="F81" s="11" t="s">
        <v>149</v>
      </c>
      <c r="G81" s="11">
        <v>1000000080</v>
      </c>
      <c r="H81" s="11" t="s">
        <v>193</v>
      </c>
      <c r="I81" s="11" t="s">
        <v>139</v>
      </c>
      <c r="J81" s="11" t="s">
        <v>231</v>
      </c>
      <c r="K81" s="11" t="s">
        <v>185</v>
      </c>
      <c r="L81" s="70">
        <v>33592</v>
      </c>
      <c r="M81" s="11" t="s">
        <v>438</v>
      </c>
      <c r="N81" s="11">
        <v>3764939888</v>
      </c>
      <c r="O81" s="11" t="s">
        <v>439</v>
      </c>
      <c r="P81" s="11" t="s">
        <v>155</v>
      </c>
      <c r="Q81" s="11" t="s">
        <v>156</v>
      </c>
      <c r="R81" s="68">
        <v>44915</v>
      </c>
      <c r="S81" s="11" t="s">
        <v>146</v>
      </c>
      <c r="T81" s="11" t="s">
        <v>166</v>
      </c>
      <c r="U81" s="11">
        <v>75000</v>
      </c>
      <c r="V81" s="68">
        <v>45112</v>
      </c>
      <c r="W81" s="12">
        <f t="shared" si="55"/>
        <v>1</v>
      </c>
      <c r="X81" s="12">
        <f t="shared" si="56"/>
        <v>1</v>
      </c>
      <c r="Y81" s="12">
        <f t="shared" si="57"/>
        <v>1</v>
      </c>
      <c r="Z81" s="12">
        <f t="shared" si="58"/>
        <v>1</v>
      </c>
      <c r="AA81" s="12">
        <f t="shared" si="59"/>
        <v>1</v>
      </c>
      <c r="AB81" s="12">
        <f t="shared" si="60"/>
        <v>1</v>
      </c>
      <c r="AC81" s="12">
        <f t="shared" si="61"/>
        <v>1</v>
      </c>
      <c r="AD81" s="12">
        <f t="shared" si="42"/>
        <v>1</v>
      </c>
      <c r="AE81" s="12">
        <f t="shared" si="43"/>
        <v>1</v>
      </c>
      <c r="AF81" s="12">
        <f t="shared" si="44"/>
        <v>1</v>
      </c>
      <c r="AG81" s="12">
        <f t="shared" si="45"/>
        <v>1</v>
      </c>
      <c r="AH81" s="12">
        <f t="shared" si="46"/>
        <v>1</v>
      </c>
      <c r="AI81" s="12">
        <f t="shared" si="47"/>
        <v>1</v>
      </c>
      <c r="AJ81" s="12">
        <f t="shared" si="48"/>
        <v>1</v>
      </c>
      <c r="AK81" s="12">
        <f t="shared" si="49"/>
        <v>1</v>
      </c>
      <c r="AL81" s="12">
        <f t="shared" si="50"/>
        <v>1</v>
      </c>
      <c r="AM81" s="12">
        <f t="shared" si="62"/>
        <v>1</v>
      </c>
      <c r="AN81" s="12">
        <f t="shared" si="63"/>
        <v>1</v>
      </c>
      <c r="AO81" s="12">
        <f t="shared" si="64"/>
        <v>1</v>
      </c>
      <c r="AP81" s="12">
        <f t="shared" si="65"/>
        <v>1</v>
      </c>
      <c r="AQ81" s="12">
        <f t="shared" si="66"/>
        <v>1</v>
      </c>
      <c r="AR81" s="12">
        <f t="shared" si="67"/>
        <v>1</v>
      </c>
      <c r="AS81" s="12" cm="1">
        <f t="array" ref="AS81">IF(AND(H81&lt;&gt;"",SUMPRODUCT(--ISNUMBER(FIND({0;1;2;3;4;5;6;7;8;9},H81)))=0),1,0)</f>
        <v>1</v>
      </c>
      <c r="AT81" s="12" cm="1">
        <f t="array" ref="AT81">IF(AND(I81&lt;&gt;"",SUMPRODUCT(--ISNUMBER(FIND({0;1;2;3;4;5;6;7;8;9},I81)))=0),1,0)</f>
        <v>1</v>
      </c>
      <c r="AU81" s="12" cm="1">
        <f t="array" ref="AU81">IF(AND(J81&lt;&gt;"",SUMPRODUCT(--ISNUMBER(FIND({0;1;2;3;4;5;6;7;8;9},J81)))=0),1,0)</f>
        <v>1</v>
      </c>
      <c r="AV81" s="12">
        <f t="shared" si="51"/>
        <v>1</v>
      </c>
      <c r="AW81" s="12">
        <f t="shared" ca="1" si="68"/>
        <v>1</v>
      </c>
      <c r="AX81" s="12">
        <f t="shared" si="69"/>
        <v>1</v>
      </c>
      <c r="AY81" s="12">
        <f t="shared" si="70"/>
        <v>1</v>
      </c>
      <c r="AZ81" s="12">
        <f t="shared" si="71"/>
        <v>1</v>
      </c>
      <c r="BA81" s="12">
        <f t="shared" si="72"/>
        <v>1</v>
      </c>
      <c r="BB81" s="12">
        <f t="shared" si="73"/>
        <v>1</v>
      </c>
      <c r="BC81" s="12">
        <f t="shared" ca="1" si="74"/>
        <v>1</v>
      </c>
      <c r="BD81" s="12">
        <f t="shared" si="75"/>
        <v>1</v>
      </c>
      <c r="BE81" s="12">
        <f t="shared" si="76"/>
        <v>1</v>
      </c>
      <c r="BF81" s="12">
        <f t="shared" si="77"/>
        <v>1</v>
      </c>
      <c r="BG81" s="12">
        <f t="shared" ca="1" si="78"/>
        <v>1</v>
      </c>
    </row>
    <row r="82" spans="1:59" ht="15.75" customHeight="1" x14ac:dyDescent="0.2">
      <c r="A82" s="19">
        <f t="shared" si="52"/>
        <v>1</v>
      </c>
      <c r="B82" s="20">
        <f t="shared" si="53"/>
        <v>1</v>
      </c>
      <c r="C82" s="20">
        <f t="shared" ca="1" si="54"/>
        <v>1</v>
      </c>
      <c r="D82" s="50">
        <f t="shared" ca="1" si="41"/>
        <v>0</v>
      </c>
      <c r="E82" s="11" t="s">
        <v>440</v>
      </c>
      <c r="F82" s="11" t="s">
        <v>160</v>
      </c>
      <c r="G82" s="11">
        <v>1000000081</v>
      </c>
      <c r="H82" s="11" t="s">
        <v>182</v>
      </c>
      <c r="I82" s="11" t="s">
        <v>212</v>
      </c>
      <c r="J82" s="11" t="s">
        <v>184</v>
      </c>
      <c r="K82" s="11" t="s">
        <v>185</v>
      </c>
      <c r="L82" s="70">
        <v>38091</v>
      </c>
      <c r="M82" s="11" t="s">
        <v>441</v>
      </c>
      <c r="N82" s="11">
        <v>3163013035</v>
      </c>
      <c r="O82" s="11" t="s">
        <v>442</v>
      </c>
      <c r="P82" s="11" t="s">
        <v>224</v>
      </c>
      <c r="Q82" s="11" t="s">
        <v>225</v>
      </c>
      <c r="R82" s="68">
        <v>44838</v>
      </c>
      <c r="S82" s="11" t="s">
        <v>174</v>
      </c>
      <c r="T82" s="11" t="s">
        <v>158</v>
      </c>
      <c r="U82" s="11">
        <v>95000</v>
      </c>
      <c r="V82" s="68">
        <v>44868</v>
      </c>
      <c r="W82" s="12">
        <f t="shared" si="55"/>
        <v>1</v>
      </c>
      <c r="X82" s="12">
        <f t="shared" si="56"/>
        <v>1</v>
      </c>
      <c r="Y82" s="12">
        <f t="shared" si="57"/>
        <v>1</v>
      </c>
      <c r="Z82" s="12">
        <f t="shared" si="58"/>
        <v>1</v>
      </c>
      <c r="AA82" s="12">
        <f t="shared" si="59"/>
        <v>1</v>
      </c>
      <c r="AB82" s="12">
        <f t="shared" si="60"/>
        <v>1</v>
      </c>
      <c r="AC82" s="12">
        <f t="shared" si="61"/>
        <v>1</v>
      </c>
      <c r="AD82" s="12">
        <f t="shared" si="42"/>
        <v>1</v>
      </c>
      <c r="AE82" s="12">
        <f t="shared" si="43"/>
        <v>1</v>
      </c>
      <c r="AF82" s="12">
        <f t="shared" si="44"/>
        <v>1</v>
      </c>
      <c r="AG82" s="12">
        <f t="shared" si="45"/>
        <v>1</v>
      </c>
      <c r="AH82" s="12">
        <f t="shared" si="46"/>
        <v>1</v>
      </c>
      <c r="AI82" s="12">
        <f t="shared" si="47"/>
        <v>1</v>
      </c>
      <c r="AJ82" s="12">
        <f t="shared" si="48"/>
        <v>1</v>
      </c>
      <c r="AK82" s="12">
        <f t="shared" si="49"/>
        <v>1</v>
      </c>
      <c r="AL82" s="12">
        <f t="shared" si="50"/>
        <v>1</v>
      </c>
      <c r="AM82" s="12">
        <f t="shared" si="62"/>
        <v>1</v>
      </c>
      <c r="AN82" s="12">
        <f t="shared" si="63"/>
        <v>1</v>
      </c>
      <c r="AO82" s="12">
        <f t="shared" si="64"/>
        <v>1</v>
      </c>
      <c r="AP82" s="12">
        <f t="shared" si="65"/>
        <v>1</v>
      </c>
      <c r="AQ82" s="12">
        <f t="shared" si="66"/>
        <v>1</v>
      </c>
      <c r="AR82" s="12">
        <f t="shared" si="67"/>
        <v>1</v>
      </c>
      <c r="AS82" s="12" cm="1">
        <f t="array" ref="AS82">IF(AND(H82&lt;&gt;"",SUMPRODUCT(--ISNUMBER(FIND({0;1;2;3;4;5;6;7;8;9},H82)))=0),1,0)</f>
        <v>1</v>
      </c>
      <c r="AT82" s="12" cm="1">
        <f t="array" ref="AT82">IF(AND(I82&lt;&gt;"",SUMPRODUCT(--ISNUMBER(FIND({0;1;2;3;4;5;6;7;8;9},I82)))=0),1,0)</f>
        <v>1</v>
      </c>
      <c r="AU82" s="12" cm="1">
        <f t="array" ref="AU82">IF(AND(J82&lt;&gt;"",SUMPRODUCT(--ISNUMBER(FIND({0;1;2;3;4;5;6;7;8;9},J82)))=0),1,0)</f>
        <v>1</v>
      </c>
      <c r="AV82" s="12">
        <f t="shared" si="51"/>
        <v>1</v>
      </c>
      <c r="AW82" s="12">
        <f t="shared" ca="1" si="68"/>
        <v>1</v>
      </c>
      <c r="AX82" s="12">
        <f t="shared" si="69"/>
        <v>1</v>
      </c>
      <c r="AY82" s="12">
        <f t="shared" si="70"/>
        <v>1</v>
      </c>
      <c r="AZ82" s="12">
        <f t="shared" si="71"/>
        <v>1</v>
      </c>
      <c r="BA82" s="12">
        <f t="shared" si="72"/>
        <v>1</v>
      </c>
      <c r="BB82" s="12">
        <f t="shared" si="73"/>
        <v>1</v>
      </c>
      <c r="BC82" s="12">
        <f t="shared" ca="1" si="74"/>
        <v>1</v>
      </c>
      <c r="BD82" s="12">
        <f t="shared" si="75"/>
        <v>1</v>
      </c>
      <c r="BE82" s="12">
        <f t="shared" si="76"/>
        <v>1</v>
      </c>
      <c r="BF82" s="12">
        <f t="shared" si="77"/>
        <v>1</v>
      </c>
      <c r="BG82" s="12">
        <f t="shared" ca="1" si="78"/>
        <v>1</v>
      </c>
    </row>
    <row r="83" spans="1:59" ht="15.75" customHeight="1" x14ac:dyDescent="0.2">
      <c r="A83" s="19">
        <f t="shared" si="52"/>
        <v>1</v>
      </c>
      <c r="B83" s="20">
        <f t="shared" si="53"/>
        <v>1</v>
      </c>
      <c r="C83" s="20">
        <f t="shared" ca="1" si="54"/>
        <v>1</v>
      </c>
      <c r="D83" s="50">
        <f t="shared" ca="1" si="41"/>
        <v>0</v>
      </c>
      <c r="E83" s="11" t="s">
        <v>443</v>
      </c>
      <c r="F83" s="11" t="s">
        <v>149</v>
      </c>
      <c r="G83" s="11">
        <v>1000000082</v>
      </c>
      <c r="H83" s="11" t="s">
        <v>294</v>
      </c>
      <c r="I83" s="11" t="s">
        <v>168</v>
      </c>
      <c r="J83" s="11" t="s">
        <v>151</v>
      </c>
      <c r="K83" s="11" t="s">
        <v>185</v>
      </c>
      <c r="L83" s="70">
        <v>28031</v>
      </c>
      <c r="M83" s="11" t="s">
        <v>444</v>
      </c>
      <c r="N83" s="11">
        <v>3926111902</v>
      </c>
      <c r="O83" s="11" t="s">
        <v>445</v>
      </c>
      <c r="P83" s="11" t="s">
        <v>144</v>
      </c>
      <c r="Q83" s="11" t="s">
        <v>145</v>
      </c>
      <c r="R83" s="68">
        <v>45966</v>
      </c>
      <c r="S83" s="11" t="s">
        <v>174</v>
      </c>
      <c r="T83" s="11" t="s">
        <v>147</v>
      </c>
      <c r="U83" s="11">
        <v>95000</v>
      </c>
      <c r="V83" s="68">
        <v>46134</v>
      </c>
      <c r="W83" s="12">
        <f t="shared" si="55"/>
        <v>1</v>
      </c>
      <c r="X83" s="12">
        <f t="shared" si="56"/>
        <v>1</v>
      </c>
      <c r="Y83" s="12">
        <f t="shared" si="57"/>
        <v>1</v>
      </c>
      <c r="Z83" s="12">
        <f t="shared" si="58"/>
        <v>1</v>
      </c>
      <c r="AA83" s="12">
        <f t="shared" si="59"/>
        <v>1</v>
      </c>
      <c r="AB83" s="12">
        <f t="shared" si="60"/>
        <v>1</v>
      </c>
      <c r="AC83" s="12">
        <f t="shared" si="61"/>
        <v>1</v>
      </c>
      <c r="AD83" s="12">
        <f t="shared" si="42"/>
        <v>1</v>
      </c>
      <c r="AE83" s="12">
        <f t="shared" si="43"/>
        <v>1</v>
      </c>
      <c r="AF83" s="12">
        <f t="shared" si="44"/>
        <v>1</v>
      </c>
      <c r="AG83" s="12">
        <f t="shared" si="45"/>
        <v>1</v>
      </c>
      <c r="AH83" s="12">
        <f t="shared" si="46"/>
        <v>1</v>
      </c>
      <c r="AI83" s="12">
        <f t="shared" si="47"/>
        <v>1</v>
      </c>
      <c r="AJ83" s="12">
        <f t="shared" si="48"/>
        <v>1</v>
      </c>
      <c r="AK83" s="12">
        <f t="shared" si="49"/>
        <v>1</v>
      </c>
      <c r="AL83" s="12">
        <f t="shared" si="50"/>
        <v>1</v>
      </c>
      <c r="AM83" s="12">
        <f t="shared" si="62"/>
        <v>1</v>
      </c>
      <c r="AN83" s="12">
        <f t="shared" si="63"/>
        <v>1</v>
      </c>
      <c r="AO83" s="12">
        <f t="shared" si="64"/>
        <v>1</v>
      </c>
      <c r="AP83" s="12">
        <f t="shared" si="65"/>
        <v>1</v>
      </c>
      <c r="AQ83" s="12">
        <f t="shared" si="66"/>
        <v>1</v>
      </c>
      <c r="AR83" s="12">
        <f t="shared" si="67"/>
        <v>1</v>
      </c>
      <c r="AS83" s="12" cm="1">
        <f t="array" ref="AS83">IF(AND(H83&lt;&gt;"",SUMPRODUCT(--ISNUMBER(FIND({0;1;2;3;4;5;6;7;8;9},H83)))=0),1,0)</f>
        <v>1</v>
      </c>
      <c r="AT83" s="12" cm="1">
        <f t="array" ref="AT83">IF(AND(I83&lt;&gt;"",SUMPRODUCT(--ISNUMBER(FIND({0;1;2;3;4;5;6;7;8;9},I83)))=0),1,0)</f>
        <v>1</v>
      </c>
      <c r="AU83" s="12" cm="1">
        <f t="array" ref="AU83">IF(AND(J83&lt;&gt;"",SUMPRODUCT(--ISNUMBER(FIND({0;1;2;3;4;5;6;7;8;9},J83)))=0),1,0)</f>
        <v>1</v>
      </c>
      <c r="AV83" s="12">
        <f t="shared" si="51"/>
        <v>1</v>
      </c>
      <c r="AW83" s="12">
        <f t="shared" ca="1" si="68"/>
        <v>1</v>
      </c>
      <c r="AX83" s="12">
        <f t="shared" si="69"/>
        <v>1</v>
      </c>
      <c r="AY83" s="12">
        <f t="shared" si="70"/>
        <v>1</v>
      </c>
      <c r="AZ83" s="12">
        <f t="shared" si="71"/>
        <v>1</v>
      </c>
      <c r="BA83" s="12">
        <f t="shared" si="72"/>
        <v>1</v>
      </c>
      <c r="BB83" s="12">
        <f t="shared" si="73"/>
        <v>1</v>
      </c>
      <c r="BC83" s="12">
        <f t="shared" ca="1" si="74"/>
        <v>1</v>
      </c>
      <c r="BD83" s="12">
        <f t="shared" si="75"/>
        <v>1</v>
      </c>
      <c r="BE83" s="12">
        <f t="shared" si="76"/>
        <v>1</v>
      </c>
      <c r="BF83" s="12">
        <f t="shared" si="77"/>
        <v>1</v>
      </c>
      <c r="BG83" s="12">
        <f t="shared" ca="1" si="78"/>
        <v>1</v>
      </c>
    </row>
    <row r="84" spans="1:59" ht="15.75" customHeight="1" x14ac:dyDescent="0.2">
      <c r="A84" s="19">
        <f t="shared" si="52"/>
        <v>1</v>
      </c>
      <c r="B84" s="20">
        <f t="shared" si="53"/>
        <v>1</v>
      </c>
      <c r="C84" s="20">
        <f t="shared" ca="1" si="54"/>
        <v>1</v>
      </c>
      <c r="D84" s="50">
        <f t="shared" ca="1" si="41"/>
        <v>0</v>
      </c>
      <c r="E84" s="11" t="s">
        <v>446</v>
      </c>
      <c r="F84" s="11" t="s">
        <v>160</v>
      </c>
      <c r="G84" s="11">
        <v>1000000083</v>
      </c>
      <c r="H84" s="11" t="s">
        <v>193</v>
      </c>
      <c r="I84" s="11" t="s">
        <v>140</v>
      </c>
      <c r="J84" s="11" t="s">
        <v>235</v>
      </c>
      <c r="K84" s="11" t="s">
        <v>185</v>
      </c>
      <c r="L84" s="70">
        <v>30359</v>
      </c>
      <c r="M84" s="11" t="s">
        <v>447</v>
      </c>
      <c r="N84" s="11">
        <v>3606265524</v>
      </c>
      <c r="O84" s="11" t="s">
        <v>448</v>
      </c>
      <c r="P84" s="11" t="s">
        <v>144</v>
      </c>
      <c r="Q84" s="11" t="s">
        <v>145</v>
      </c>
      <c r="R84" s="68">
        <v>45083</v>
      </c>
      <c r="S84" s="11" t="s">
        <v>146</v>
      </c>
      <c r="T84" s="11" t="s">
        <v>166</v>
      </c>
      <c r="U84" s="11">
        <v>95000</v>
      </c>
      <c r="V84" s="68">
        <v>45124</v>
      </c>
      <c r="W84" s="12">
        <f t="shared" si="55"/>
        <v>1</v>
      </c>
      <c r="X84" s="12">
        <f t="shared" si="56"/>
        <v>1</v>
      </c>
      <c r="Y84" s="12">
        <f t="shared" si="57"/>
        <v>1</v>
      </c>
      <c r="Z84" s="12">
        <f t="shared" si="58"/>
        <v>1</v>
      </c>
      <c r="AA84" s="12">
        <f t="shared" si="59"/>
        <v>1</v>
      </c>
      <c r="AB84" s="12">
        <f t="shared" si="60"/>
        <v>1</v>
      </c>
      <c r="AC84" s="12">
        <f t="shared" si="61"/>
        <v>1</v>
      </c>
      <c r="AD84" s="12">
        <f t="shared" si="42"/>
        <v>1</v>
      </c>
      <c r="AE84" s="12">
        <f t="shared" si="43"/>
        <v>1</v>
      </c>
      <c r="AF84" s="12">
        <f t="shared" si="44"/>
        <v>1</v>
      </c>
      <c r="AG84" s="12">
        <f t="shared" si="45"/>
        <v>1</v>
      </c>
      <c r="AH84" s="12">
        <f t="shared" si="46"/>
        <v>1</v>
      </c>
      <c r="AI84" s="12">
        <f t="shared" si="47"/>
        <v>1</v>
      </c>
      <c r="AJ84" s="12">
        <f t="shared" si="48"/>
        <v>1</v>
      </c>
      <c r="AK84" s="12">
        <f t="shared" si="49"/>
        <v>1</v>
      </c>
      <c r="AL84" s="12">
        <f t="shared" si="50"/>
        <v>1</v>
      </c>
      <c r="AM84" s="12">
        <f t="shared" si="62"/>
        <v>1</v>
      </c>
      <c r="AN84" s="12">
        <f t="shared" si="63"/>
        <v>1</v>
      </c>
      <c r="AO84" s="12">
        <f t="shared" si="64"/>
        <v>1</v>
      </c>
      <c r="AP84" s="12">
        <f t="shared" si="65"/>
        <v>1</v>
      </c>
      <c r="AQ84" s="12">
        <f t="shared" si="66"/>
        <v>1</v>
      </c>
      <c r="AR84" s="12">
        <f t="shared" si="67"/>
        <v>1</v>
      </c>
      <c r="AS84" s="12" cm="1">
        <f t="array" ref="AS84">IF(AND(H84&lt;&gt;"",SUMPRODUCT(--ISNUMBER(FIND({0;1;2;3;4;5;6;7;8;9},H84)))=0),1,0)</f>
        <v>1</v>
      </c>
      <c r="AT84" s="12" cm="1">
        <f t="array" ref="AT84">IF(AND(I84&lt;&gt;"",SUMPRODUCT(--ISNUMBER(FIND({0;1;2;3;4;5;6;7;8;9},I84)))=0),1,0)</f>
        <v>1</v>
      </c>
      <c r="AU84" s="12" cm="1">
        <f t="array" ref="AU84">IF(AND(J84&lt;&gt;"",SUMPRODUCT(--ISNUMBER(FIND({0;1;2;3;4;5;6;7;8;9},J84)))=0),1,0)</f>
        <v>1</v>
      </c>
      <c r="AV84" s="12">
        <f t="shared" si="51"/>
        <v>1</v>
      </c>
      <c r="AW84" s="12">
        <f t="shared" ca="1" si="68"/>
        <v>1</v>
      </c>
      <c r="AX84" s="12">
        <f t="shared" si="69"/>
        <v>1</v>
      </c>
      <c r="AY84" s="12">
        <f t="shared" si="70"/>
        <v>1</v>
      </c>
      <c r="AZ84" s="12">
        <f t="shared" si="71"/>
        <v>1</v>
      </c>
      <c r="BA84" s="12">
        <f t="shared" si="72"/>
        <v>1</v>
      </c>
      <c r="BB84" s="12">
        <f t="shared" si="73"/>
        <v>1</v>
      </c>
      <c r="BC84" s="12">
        <f t="shared" ca="1" si="74"/>
        <v>1</v>
      </c>
      <c r="BD84" s="12">
        <f t="shared" si="75"/>
        <v>1</v>
      </c>
      <c r="BE84" s="12">
        <f t="shared" si="76"/>
        <v>1</v>
      </c>
      <c r="BF84" s="12">
        <f t="shared" si="77"/>
        <v>1</v>
      </c>
      <c r="BG84" s="12">
        <f t="shared" ca="1" si="78"/>
        <v>1</v>
      </c>
    </row>
    <row r="85" spans="1:59" ht="15.75" customHeight="1" x14ac:dyDescent="0.2">
      <c r="A85" s="19">
        <f t="shared" si="52"/>
        <v>1</v>
      </c>
      <c r="B85" s="20">
        <f t="shared" si="53"/>
        <v>1</v>
      </c>
      <c r="C85" s="20">
        <f t="shared" ca="1" si="54"/>
        <v>0</v>
      </c>
      <c r="D85" s="50">
        <f t="shared" ref="D85:D148" ca="1" si="79">IF(SUM(A85:C85)&lt;3,1,0)</f>
        <v>1</v>
      </c>
      <c r="E85" s="11" t="s">
        <v>449</v>
      </c>
      <c r="F85" s="11" t="s">
        <v>149</v>
      </c>
      <c r="G85" s="11">
        <v>1000000084</v>
      </c>
      <c r="H85" s="11" t="s">
        <v>294</v>
      </c>
      <c r="I85" s="11" t="s">
        <v>200</v>
      </c>
      <c r="J85" s="11" t="s">
        <v>151</v>
      </c>
      <c r="K85" s="11" t="s">
        <v>185</v>
      </c>
      <c r="L85" s="70">
        <v>30756</v>
      </c>
      <c r="M85" s="11" t="s">
        <v>450</v>
      </c>
      <c r="N85" s="11">
        <v>3899073922</v>
      </c>
      <c r="O85" s="11" t="s">
        <v>451</v>
      </c>
      <c r="P85" s="11" t="s">
        <v>172</v>
      </c>
      <c r="Q85" s="11" t="s">
        <v>173</v>
      </c>
      <c r="R85" s="68">
        <v>46088</v>
      </c>
      <c r="S85" s="11" t="s">
        <v>174</v>
      </c>
      <c r="T85" s="11" t="s">
        <v>147</v>
      </c>
      <c r="U85" s="11">
        <v>95000</v>
      </c>
      <c r="V85" s="68">
        <v>46327</v>
      </c>
      <c r="W85" s="12">
        <f t="shared" si="55"/>
        <v>1</v>
      </c>
      <c r="X85" s="12">
        <f t="shared" si="56"/>
        <v>1</v>
      </c>
      <c r="Y85" s="12">
        <f t="shared" si="57"/>
        <v>1</v>
      </c>
      <c r="Z85" s="12">
        <f t="shared" si="58"/>
        <v>1</v>
      </c>
      <c r="AA85" s="12">
        <f t="shared" si="59"/>
        <v>1</v>
      </c>
      <c r="AB85" s="12">
        <f t="shared" si="60"/>
        <v>1</v>
      </c>
      <c r="AC85" s="12">
        <f t="shared" si="61"/>
        <v>1</v>
      </c>
      <c r="AD85" s="12">
        <f t="shared" ref="AD85:AD148" si="80">IF(K85="",0,1)</f>
        <v>1</v>
      </c>
      <c r="AE85" s="12">
        <f t="shared" ref="AE85:AE148" si="81">IF(L85="",0,1)</f>
        <v>1</v>
      </c>
      <c r="AF85" s="12">
        <f t="shared" ref="AF85:AF148" si="82">IF(M85="",0,1)</f>
        <v>1</v>
      </c>
      <c r="AG85" s="12">
        <f t="shared" ref="AG85:AG148" si="83">IF(N85="",0,1)</f>
        <v>1</v>
      </c>
      <c r="AH85" s="12">
        <f t="shared" ref="AH85:AH148" si="84">IF(O85="",0,1)</f>
        <v>1</v>
      </c>
      <c r="AI85" s="12">
        <f t="shared" ref="AI85:AI148" si="85">IF(P85="",0,1)</f>
        <v>1</v>
      </c>
      <c r="AJ85" s="12">
        <f t="shared" ref="AJ85:AJ148" si="86">IF(Q85="",0,1)</f>
        <v>1</v>
      </c>
      <c r="AK85" s="12">
        <f t="shared" ref="AK85:AK148" si="87">IF(R85="",0,1)</f>
        <v>1</v>
      </c>
      <c r="AL85" s="12">
        <f t="shared" ref="AL85:AL148" si="88">IF(S85="",0,1)</f>
        <v>1</v>
      </c>
      <c r="AM85" s="12">
        <f t="shared" si="62"/>
        <v>1</v>
      </c>
      <c r="AN85" s="12">
        <f t="shared" si="63"/>
        <v>1</v>
      </c>
      <c r="AO85" s="12">
        <f t="shared" si="64"/>
        <v>1</v>
      </c>
      <c r="AP85" s="12">
        <f t="shared" si="65"/>
        <v>1</v>
      </c>
      <c r="AQ85" s="12">
        <f t="shared" si="66"/>
        <v>1</v>
      </c>
      <c r="AR85" s="12">
        <f t="shared" si="67"/>
        <v>1</v>
      </c>
      <c r="AS85" s="12" cm="1">
        <f t="array" ref="AS85">IF(AND(H85&lt;&gt;"",SUMPRODUCT(--ISNUMBER(FIND({0;1;2;3;4;5;6;7;8;9},H85)))=0),1,0)</f>
        <v>1</v>
      </c>
      <c r="AT85" s="12" cm="1">
        <f t="array" ref="AT85">IF(AND(I85&lt;&gt;"",SUMPRODUCT(--ISNUMBER(FIND({0;1;2;3;4;5;6;7;8;9},I85)))=0),1,0)</f>
        <v>1</v>
      </c>
      <c r="AU85" s="12" cm="1">
        <f t="array" ref="AU85">IF(AND(J85&lt;&gt;"",SUMPRODUCT(--ISNUMBER(FIND({0;1;2;3;4;5;6;7;8;9},J85)))=0),1,0)</f>
        <v>1</v>
      </c>
      <c r="AV85" s="12">
        <f t="shared" ref="AV85:AV148" si="89">IF(OR(ISBLANK(K85),K85=""),1,IF(ISTEXT(K85),1,0))</f>
        <v>1</v>
      </c>
      <c r="AW85" s="12">
        <f t="shared" ca="1" si="68"/>
        <v>1</v>
      </c>
      <c r="AX85" s="12">
        <f t="shared" si="69"/>
        <v>1</v>
      </c>
      <c r="AY85" s="12">
        <f t="shared" si="70"/>
        <v>1</v>
      </c>
      <c r="AZ85" s="12">
        <f t="shared" si="71"/>
        <v>1</v>
      </c>
      <c r="BA85" s="12">
        <f t="shared" si="72"/>
        <v>1</v>
      </c>
      <c r="BB85" s="12">
        <f t="shared" si="73"/>
        <v>1</v>
      </c>
      <c r="BC85" s="12">
        <f t="shared" ca="1" si="74"/>
        <v>1</v>
      </c>
      <c r="BD85" s="12">
        <f t="shared" si="75"/>
        <v>1</v>
      </c>
      <c r="BE85" s="12">
        <f t="shared" si="76"/>
        <v>1</v>
      </c>
      <c r="BF85" s="12">
        <f t="shared" si="77"/>
        <v>1</v>
      </c>
      <c r="BG85" s="12">
        <f t="shared" ca="1" si="78"/>
        <v>0</v>
      </c>
    </row>
    <row r="86" spans="1:59" ht="15.75" customHeight="1" x14ac:dyDescent="0.2">
      <c r="A86" s="19">
        <f t="shared" si="52"/>
        <v>1</v>
      </c>
      <c r="B86" s="20">
        <f t="shared" si="53"/>
        <v>1</v>
      </c>
      <c r="C86" s="20">
        <f t="shared" ca="1" si="54"/>
        <v>0</v>
      </c>
      <c r="D86" s="50">
        <f t="shared" ca="1" si="79"/>
        <v>1</v>
      </c>
      <c r="E86" s="11" t="s">
        <v>452</v>
      </c>
      <c r="F86" s="11" t="s">
        <v>137</v>
      </c>
      <c r="G86" s="11">
        <v>1000000085</v>
      </c>
      <c r="H86" s="11" t="s">
        <v>281</v>
      </c>
      <c r="I86" s="11" t="s">
        <v>200</v>
      </c>
      <c r="J86" s="11" t="s">
        <v>200</v>
      </c>
      <c r="K86" s="11" t="s">
        <v>185</v>
      </c>
      <c r="L86" s="70">
        <v>37443</v>
      </c>
      <c r="M86" s="11" t="s">
        <v>453</v>
      </c>
      <c r="N86" s="11">
        <v>3212006291</v>
      </c>
      <c r="O86" s="11" t="s">
        <v>454</v>
      </c>
      <c r="P86" s="11" t="s">
        <v>172</v>
      </c>
      <c r="Q86" s="11" t="s">
        <v>173</v>
      </c>
      <c r="R86" s="68">
        <v>45991</v>
      </c>
      <c r="S86" s="11" t="s">
        <v>157</v>
      </c>
      <c r="T86" s="11" t="s">
        <v>147</v>
      </c>
      <c r="U86" s="11">
        <v>95000</v>
      </c>
      <c r="V86" s="68">
        <v>46213</v>
      </c>
      <c r="W86" s="12">
        <f t="shared" si="55"/>
        <v>1</v>
      </c>
      <c r="X86" s="12">
        <f t="shared" si="56"/>
        <v>1</v>
      </c>
      <c r="Y86" s="12">
        <f t="shared" si="57"/>
        <v>1</v>
      </c>
      <c r="Z86" s="12">
        <f t="shared" si="58"/>
        <v>1</v>
      </c>
      <c r="AA86" s="12">
        <f t="shared" si="59"/>
        <v>1</v>
      </c>
      <c r="AB86" s="12">
        <f t="shared" si="60"/>
        <v>1</v>
      </c>
      <c r="AC86" s="12">
        <f t="shared" si="61"/>
        <v>1</v>
      </c>
      <c r="AD86" s="12">
        <f t="shared" si="80"/>
        <v>1</v>
      </c>
      <c r="AE86" s="12">
        <f t="shared" si="81"/>
        <v>1</v>
      </c>
      <c r="AF86" s="12">
        <f t="shared" si="82"/>
        <v>1</v>
      </c>
      <c r="AG86" s="12">
        <f t="shared" si="83"/>
        <v>1</v>
      </c>
      <c r="AH86" s="12">
        <f t="shared" si="84"/>
        <v>1</v>
      </c>
      <c r="AI86" s="12">
        <f t="shared" si="85"/>
        <v>1</v>
      </c>
      <c r="AJ86" s="12">
        <f t="shared" si="86"/>
        <v>1</v>
      </c>
      <c r="AK86" s="12">
        <f t="shared" si="87"/>
        <v>1</v>
      </c>
      <c r="AL86" s="12">
        <f t="shared" si="88"/>
        <v>1</v>
      </c>
      <c r="AM86" s="12">
        <f t="shared" si="62"/>
        <v>1</v>
      </c>
      <c r="AN86" s="12">
        <f t="shared" si="63"/>
        <v>1</v>
      </c>
      <c r="AO86" s="12">
        <f t="shared" si="64"/>
        <v>1</v>
      </c>
      <c r="AP86" s="12">
        <f t="shared" si="65"/>
        <v>1</v>
      </c>
      <c r="AQ86" s="12">
        <f t="shared" si="66"/>
        <v>1</v>
      </c>
      <c r="AR86" s="12">
        <f t="shared" si="67"/>
        <v>1</v>
      </c>
      <c r="AS86" s="12" cm="1">
        <f t="array" ref="AS86">IF(AND(H86&lt;&gt;"",SUMPRODUCT(--ISNUMBER(FIND({0;1;2;3;4;5;6;7;8;9},H86)))=0),1,0)</f>
        <v>1</v>
      </c>
      <c r="AT86" s="12" cm="1">
        <f t="array" ref="AT86">IF(AND(I86&lt;&gt;"",SUMPRODUCT(--ISNUMBER(FIND({0;1;2;3;4;5;6;7;8;9},I86)))=0),1,0)</f>
        <v>1</v>
      </c>
      <c r="AU86" s="12" cm="1">
        <f t="array" ref="AU86">IF(AND(J86&lt;&gt;"",SUMPRODUCT(--ISNUMBER(FIND({0;1;2;3;4;5;6;7;8;9},J86)))=0),1,0)</f>
        <v>1</v>
      </c>
      <c r="AV86" s="12">
        <f t="shared" si="89"/>
        <v>1</v>
      </c>
      <c r="AW86" s="12">
        <f t="shared" ca="1" si="68"/>
        <v>1</v>
      </c>
      <c r="AX86" s="12">
        <f t="shared" si="69"/>
        <v>1</v>
      </c>
      <c r="AY86" s="12">
        <f t="shared" si="70"/>
        <v>1</v>
      </c>
      <c r="AZ86" s="12">
        <f t="shared" si="71"/>
        <v>1</v>
      </c>
      <c r="BA86" s="12">
        <f t="shared" si="72"/>
        <v>1</v>
      </c>
      <c r="BB86" s="12">
        <f t="shared" si="73"/>
        <v>1</v>
      </c>
      <c r="BC86" s="12">
        <f t="shared" ca="1" si="74"/>
        <v>1</v>
      </c>
      <c r="BD86" s="12">
        <f t="shared" si="75"/>
        <v>1</v>
      </c>
      <c r="BE86" s="12">
        <f t="shared" si="76"/>
        <v>1</v>
      </c>
      <c r="BF86" s="12">
        <f t="shared" si="77"/>
        <v>1</v>
      </c>
      <c r="BG86" s="12">
        <f t="shared" ca="1" si="78"/>
        <v>0</v>
      </c>
    </row>
    <row r="87" spans="1:59" ht="15.75" customHeight="1" x14ac:dyDescent="0.2">
      <c r="A87" s="19">
        <f t="shared" si="52"/>
        <v>1</v>
      </c>
      <c r="B87" s="20">
        <f t="shared" si="53"/>
        <v>1</v>
      </c>
      <c r="C87" s="20">
        <f t="shared" ca="1" si="54"/>
        <v>1</v>
      </c>
      <c r="D87" s="50">
        <f t="shared" ca="1" si="79"/>
        <v>0</v>
      </c>
      <c r="E87" s="11" t="s">
        <v>455</v>
      </c>
      <c r="F87" s="11" t="s">
        <v>149</v>
      </c>
      <c r="G87" s="11">
        <v>1000000086</v>
      </c>
      <c r="H87" s="11" t="s">
        <v>150</v>
      </c>
      <c r="I87" s="11" t="s">
        <v>183</v>
      </c>
      <c r="J87" s="11" t="s">
        <v>231</v>
      </c>
      <c r="K87" s="11" t="s">
        <v>141</v>
      </c>
      <c r="L87" s="70">
        <v>31516</v>
      </c>
      <c r="M87" s="11" t="s">
        <v>456</v>
      </c>
      <c r="N87" s="11">
        <v>3163404305</v>
      </c>
      <c r="O87" s="11" t="s">
        <v>457</v>
      </c>
      <c r="P87" s="11" t="s">
        <v>179</v>
      </c>
      <c r="Q87" s="11" t="s">
        <v>180</v>
      </c>
      <c r="R87" s="68">
        <v>44738</v>
      </c>
      <c r="S87" s="11" t="s">
        <v>146</v>
      </c>
      <c r="T87" s="11" t="s">
        <v>147</v>
      </c>
      <c r="U87" s="11">
        <v>90000</v>
      </c>
      <c r="V87" s="68">
        <v>44866</v>
      </c>
      <c r="W87" s="12">
        <f t="shared" si="55"/>
        <v>1</v>
      </c>
      <c r="X87" s="12">
        <f t="shared" si="56"/>
        <v>1</v>
      </c>
      <c r="Y87" s="12">
        <f t="shared" si="57"/>
        <v>1</v>
      </c>
      <c r="Z87" s="12">
        <f t="shared" si="58"/>
        <v>1</v>
      </c>
      <c r="AA87" s="12">
        <f t="shared" si="59"/>
        <v>1</v>
      </c>
      <c r="AB87" s="12">
        <f t="shared" si="60"/>
        <v>1</v>
      </c>
      <c r="AC87" s="12">
        <f t="shared" si="61"/>
        <v>1</v>
      </c>
      <c r="AD87" s="12">
        <f t="shared" si="80"/>
        <v>1</v>
      </c>
      <c r="AE87" s="12">
        <f t="shared" si="81"/>
        <v>1</v>
      </c>
      <c r="AF87" s="12">
        <f t="shared" si="82"/>
        <v>1</v>
      </c>
      <c r="AG87" s="12">
        <f t="shared" si="83"/>
        <v>1</v>
      </c>
      <c r="AH87" s="12">
        <f t="shared" si="84"/>
        <v>1</v>
      </c>
      <c r="AI87" s="12">
        <f t="shared" si="85"/>
        <v>1</v>
      </c>
      <c r="AJ87" s="12">
        <f t="shared" si="86"/>
        <v>1</v>
      </c>
      <c r="AK87" s="12">
        <f t="shared" si="87"/>
        <v>1</v>
      </c>
      <c r="AL87" s="12">
        <f t="shared" si="88"/>
        <v>1</v>
      </c>
      <c r="AM87" s="12">
        <f t="shared" si="62"/>
        <v>1</v>
      </c>
      <c r="AN87" s="12">
        <f t="shared" si="63"/>
        <v>1</v>
      </c>
      <c r="AO87" s="12">
        <f t="shared" si="64"/>
        <v>1</v>
      </c>
      <c r="AP87" s="12">
        <f t="shared" si="65"/>
        <v>1</v>
      </c>
      <c r="AQ87" s="12">
        <f t="shared" si="66"/>
        <v>1</v>
      </c>
      <c r="AR87" s="12">
        <f t="shared" si="67"/>
        <v>1</v>
      </c>
      <c r="AS87" s="12" cm="1">
        <f t="array" ref="AS87">IF(AND(H87&lt;&gt;"",SUMPRODUCT(--ISNUMBER(FIND({0;1;2;3;4;5;6;7;8;9},H87)))=0),1,0)</f>
        <v>1</v>
      </c>
      <c r="AT87" s="12" cm="1">
        <f t="array" ref="AT87">IF(AND(I87&lt;&gt;"",SUMPRODUCT(--ISNUMBER(FIND({0;1;2;3;4;5;6;7;8;9},I87)))=0),1,0)</f>
        <v>1</v>
      </c>
      <c r="AU87" s="12" cm="1">
        <f t="array" ref="AU87">IF(AND(J87&lt;&gt;"",SUMPRODUCT(--ISNUMBER(FIND({0;1;2;3;4;5;6;7;8;9},J87)))=0),1,0)</f>
        <v>1</v>
      </c>
      <c r="AV87" s="12">
        <f t="shared" si="89"/>
        <v>1</v>
      </c>
      <c r="AW87" s="12">
        <f t="shared" ca="1" si="68"/>
        <v>1</v>
      </c>
      <c r="AX87" s="12">
        <f t="shared" si="69"/>
        <v>1</v>
      </c>
      <c r="AY87" s="12">
        <f t="shared" si="70"/>
        <v>1</v>
      </c>
      <c r="AZ87" s="12">
        <f t="shared" si="71"/>
        <v>1</v>
      </c>
      <c r="BA87" s="12">
        <f t="shared" si="72"/>
        <v>1</v>
      </c>
      <c r="BB87" s="12">
        <f t="shared" si="73"/>
        <v>1</v>
      </c>
      <c r="BC87" s="12">
        <f t="shared" ca="1" si="74"/>
        <v>1</v>
      </c>
      <c r="BD87" s="12">
        <f t="shared" si="75"/>
        <v>1</v>
      </c>
      <c r="BE87" s="12">
        <f t="shared" si="76"/>
        <v>1</v>
      </c>
      <c r="BF87" s="12">
        <f t="shared" si="77"/>
        <v>1</v>
      </c>
      <c r="BG87" s="12">
        <f t="shared" ca="1" si="78"/>
        <v>1</v>
      </c>
    </row>
    <row r="88" spans="1:59" ht="15.75" customHeight="1" x14ac:dyDescent="0.2">
      <c r="A88" s="19">
        <f t="shared" si="52"/>
        <v>1</v>
      </c>
      <c r="B88" s="20">
        <f t="shared" si="53"/>
        <v>1</v>
      </c>
      <c r="C88" s="20">
        <f t="shared" ca="1" si="54"/>
        <v>1</v>
      </c>
      <c r="D88" s="50">
        <f t="shared" ca="1" si="79"/>
        <v>0</v>
      </c>
      <c r="E88" s="11" t="s">
        <v>458</v>
      </c>
      <c r="F88" s="11" t="s">
        <v>149</v>
      </c>
      <c r="G88" s="11">
        <v>1000000087</v>
      </c>
      <c r="H88" s="11" t="s">
        <v>161</v>
      </c>
      <c r="I88" s="11" t="s">
        <v>235</v>
      </c>
      <c r="J88" s="11" t="s">
        <v>227</v>
      </c>
      <c r="K88" s="11" t="s">
        <v>141</v>
      </c>
      <c r="L88" s="70">
        <v>33735</v>
      </c>
      <c r="M88" s="11" t="s">
        <v>459</v>
      </c>
      <c r="N88" s="11">
        <v>3120935622</v>
      </c>
      <c r="O88" s="11" t="s">
        <v>460</v>
      </c>
      <c r="P88" s="11" t="s">
        <v>217</v>
      </c>
      <c r="Q88" s="11" t="s">
        <v>218</v>
      </c>
      <c r="R88" s="68">
        <v>45289</v>
      </c>
      <c r="S88" s="11" t="s">
        <v>157</v>
      </c>
      <c r="T88" s="11" t="s">
        <v>158</v>
      </c>
      <c r="U88" s="11">
        <v>95000</v>
      </c>
      <c r="V88" s="68">
        <v>45531</v>
      </c>
      <c r="W88" s="12">
        <f t="shared" si="55"/>
        <v>1</v>
      </c>
      <c r="X88" s="12">
        <f t="shared" si="56"/>
        <v>1</v>
      </c>
      <c r="Y88" s="12">
        <f t="shared" si="57"/>
        <v>1</v>
      </c>
      <c r="Z88" s="12">
        <f t="shared" si="58"/>
        <v>1</v>
      </c>
      <c r="AA88" s="12">
        <f t="shared" si="59"/>
        <v>1</v>
      </c>
      <c r="AB88" s="12">
        <f t="shared" si="60"/>
        <v>1</v>
      </c>
      <c r="AC88" s="12">
        <f t="shared" si="61"/>
        <v>1</v>
      </c>
      <c r="AD88" s="12">
        <f t="shared" si="80"/>
        <v>1</v>
      </c>
      <c r="AE88" s="12">
        <f t="shared" si="81"/>
        <v>1</v>
      </c>
      <c r="AF88" s="12">
        <f t="shared" si="82"/>
        <v>1</v>
      </c>
      <c r="AG88" s="12">
        <f t="shared" si="83"/>
        <v>1</v>
      </c>
      <c r="AH88" s="12">
        <f t="shared" si="84"/>
        <v>1</v>
      </c>
      <c r="AI88" s="12">
        <f t="shared" si="85"/>
        <v>1</v>
      </c>
      <c r="AJ88" s="12">
        <f t="shared" si="86"/>
        <v>1</v>
      </c>
      <c r="AK88" s="12">
        <f t="shared" si="87"/>
        <v>1</v>
      </c>
      <c r="AL88" s="12">
        <f t="shared" si="88"/>
        <v>1</v>
      </c>
      <c r="AM88" s="12">
        <f t="shared" si="62"/>
        <v>1</v>
      </c>
      <c r="AN88" s="12">
        <f t="shared" si="63"/>
        <v>1</v>
      </c>
      <c r="AO88" s="12">
        <f t="shared" si="64"/>
        <v>1</v>
      </c>
      <c r="AP88" s="12">
        <f t="shared" si="65"/>
        <v>1</v>
      </c>
      <c r="AQ88" s="12">
        <f t="shared" si="66"/>
        <v>1</v>
      </c>
      <c r="AR88" s="12">
        <f t="shared" si="67"/>
        <v>1</v>
      </c>
      <c r="AS88" s="12" cm="1">
        <f t="array" ref="AS88">IF(AND(H88&lt;&gt;"",SUMPRODUCT(--ISNUMBER(FIND({0;1;2;3;4;5;6;7;8;9},H88)))=0),1,0)</f>
        <v>1</v>
      </c>
      <c r="AT88" s="12" cm="1">
        <f t="array" ref="AT88">IF(AND(I88&lt;&gt;"",SUMPRODUCT(--ISNUMBER(FIND({0;1;2;3;4;5;6;7;8;9},I88)))=0),1,0)</f>
        <v>1</v>
      </c>
      <c r="AU88" s="12" cm="1">
        <f t="array" ref="AU88">IF(AND(J88&lt;&gt;"",SUMPRODUCT(--ISNUMBER(FIND({0;1;2;3;4;5;6;7;8;9},J88)))=0),1,0)</f>
        <v>1</v>
      </c>
      <c r="AV88" s="12">
        <f t="shared" si="89"/>
        <v>1</v>
      </c>
      <c r="AW88" s="12">
        <f t="shared" ca="1" si="68"/>
        <v>1</v>
      </c>
      <c r="AX88" s="12">
        <f t="shared" si="69"/>
        <v>1</v>
      </c>
      <c r="AY88" s="12">
        <f t="shared" si="70"/>
        <v>1</v>
      </c>
      <c r="AZ88" s="12">
        <f t="shared" si="71"/>
        <v>1</v>
      </c>
      <c r="BA88" s="12">
        <f t="shared" si="72"/>
        <v>1</v>
      </c>
      <c r="BB88" s="12">
        <f t="shared" si="73"/>
        <v>1</v>
      </c>
      <c r="BC88" s="12">
        <f t="shared" ca="1" si="74"/>
        <v>1</v>
      </c>
      <c r="BD88" s="12">
        <f t="shared" si="75"/>
        <v>1</v>
      </c>
      <c r="BE88" s="12">
        <f t="shared" si="76"/>
        <v>1</v>
      </c>
      <c r="BF88" s="12">
        <f t="shared" si="77"/>
        <v>1</v>
      </c>
      <c r="BG88" s="12">
        <f t="shared" ca="1" si="78"/>
        <v>1</v>
      </c>
    </row>
    <row r="89" spans="1:59" ht="15.75" customHeight="1" x14ac:dyDescent="0.2">
      <c r="A89" s="19">
        <f t="shared" si="52"/>
        <v>1</v>
      </c>
      <c r="B89" s="20">
        <f t="shared" si="53"/>
        <v>1</v>
      </c>
      <c r="C89" s="20">
        <f t="shared" ca="1" si="54"/>
        <v>0</v>
      </c>
      <c r="D89" s="50">
        <f t="shared" ca="1" si="79"/>
        <v>1</v>
      </c>
      <c r="E89" s="11" t="s">
        <v>461</v>
      </c>
      <c r="F89" s="11" t="s">
        <v>137</v>
      </c>
      <c r="G89" s="11">
        <v>1000000088</v>
      </c>
      <c r="H89" s="11" t="s">
        <v>386</v>
      </c>
      <c r="I89" s="11" t="s">
        <v>260</v>
      </c>
      <c r="J89" s="11" t="s">
        <v>151</v>
      </c>
      <c r="K89" s="11" t="s">
        <v>141</v>
      </c>
      <c r="L89" s="70">
        <v>35040</v>
      </c>
      <c r="M89" s="11" t="s">
        <v>462</v>
      </c>
      <c r="N89" s="11">
        <v>3787285079</v>
      </c>
      <c r="O89" s="11" t="s">
        <v>463</v>
      </c>
      <c r="P89" s="11" t="s">
        <v>217</v>
      </c>
      <c r="Q89" s="11" t="s">
        <v>218</v>
      </c>
      <c r="R89" s="68">
        <v>45948</v>
      </c>
      <c r="S89" s="11" t="s">
        <v>157</v>
      </c>
      <c r="T89" s="11" t="s">
        <v>166</v>
      </c>
      <c r="U89" s="11">
        <v>85000</v>
      </c>
      <c r="V89" s="68">
        <v>46205</v>
      </c>
      <c r="W89" s="12">
        <f t="shared" si="55"/>
        <v>1</v>
      </c>
      <c r="X89" s="12">
        <f t="shared" si="56"/>
        <v>1</v>
      </c>
      <c r="Y89" s="12">
        <f t="shared" si="57"/>
        <v>1</v>
      </c>
      <c r="Z89" s="12">
        <f t="shared" si="58"/>
        <v>1</v>
      </c>
      <c r="AA89" s="12">
        <f t="shared" si="59"/>
        <v>1</v>
      </c>
      <c r="AB89" s="12">
        <f t="shared" si="60"/>
        <v>1</v>
      </c>
      <c r="AC89" s="12">
        <f t="shared" si="61"/>
        <v>1</v>
      </c>
      <c r="AD89" s="12">
        <f t="shared" si="80"/>
        <v>1</v>
      </c>
      <c r="AE89" s="12">
        <f t="shared" si="81"/>
        <v>1</v>
      </c>
      <c r="AF89" s="12">
        <f t="shared" si="82"/>
        <v>1</v>
      </c>
      <c r="AG89" s="12">
        <f t="shared" si="83"/>
        <v>1</v>
      </c>
      <c r="AH89" s="12">
        <f t="shared" si="84"/>
        <v>1</v>
      </c>
      <c r="AI89" s="12">
        <f t="shared" si="85"/>
        <v>1</v>
      </c>
      <c r="AJ89" s="12">
        <f t="shared" si="86"/>
        <v>1</v>
      </c>
      <c r="AK89" s="12">
        <f t="shared" si="87"/>
        <v>1</v>
      </c>
      <c r="AL89" s="12">
        <f t="shared" si="88"/>
        <v>1</v>
      </c>
      <c r="AM89" s="12">
        <f t="shared" si="62"/>
        <v>1</v>
      </c>
      <c r="AN89" s="12">
        <f t="shared" si="63"/>
        <v>1</v>
      </c>
      <c r="AO89" s="12">
        <f t="shared" si="64"/>
        <v>1</v>
      </c>
      <c r="AP89" s="12">
        <f t="shared" si="65"/>
        <v>1</v>
      </c>
      <c r="AQ89" s="12">
        <f t="shared" si="66"/>
        <v>1</v>
      </c>
      <c r="AR89" s="12">
        <f t="shared" si="67"/>
        <v>1</v>
      </c>
      <c r="AS89" s="12" cm="1">
        <f t="array" ref="AS89">IF(AND(H89&lt;&gt;"",SUMPRODUCT(--ISNUMBER(FIND({0;1;2;3;4;5;6;7;8;9},H89)))=0),1,0)</f>
        <v>1</v>
      </c>
      <c r="AT89" s="12" cm="1">
        <f t="array" ref="AT89">IF(AND(I89&lt;&gt;"",SUMPRODUCT(--ISNUMBER(FIND({0;1;2;3;4;5;6;7;8;9},I89)))=0),1,0)</f>
        <v>1</v>
      </c>
      <c r="AU89" s="12" cm="1">
        <f t="array" ref="AU89">IF(AND(J89&lt;&gt;"",SUMPRODUCT(--ISNUMBER(FIND({0;1;2;3;4;5;6;7;8;9},J89)))=0),1,0)</f>
        <v>1</v>
      </c>
      <c r="AV89" s="12">
        <f t="shared" si="89"/>
        <v>1</v>
      </c>
      <c r="AW89" s="12">
        <f t="shared" ca="1" si="68"/>
        <v>1</v>
      </c>
      <c r="AX89" s="12">
        <f t="shared" si="69"/>
        <v>1</v>
      </c>
      <c r="AY89" s="12">
        <f t="shared" si="70"/>
        <v>1</v>
      </c>
      <c r="AZ89" s="12">
        <f t="shared" si="71"/>
        <v>1</v>
      </c>
      <c r="BA89" s="12">
        <f t="shared" si="72"/>
        <v>1</v>
      </c>
      <c r="BB89" s="12">
        <f t="shared" si="73"/>
        <v>1</v>
      </c>
      <c r="BC89" s="12">
        <f t="shared" ca="1" si="74"/>
        <v>1</v>
      </c>
      <c r="BD89" s="12">
        <f t="shared" si="75"/>
        <v>1</v>
      </c>
      <c r="BE89" s="12">
        <f t="shared" si="76"/>
        <v>1</v>
      </c>
      <c r="BF89" s="12">
        <f t="shared" si="77"/>
        <v>1</v>
      </c>
      <c r="BG89" s="12">
        <f t="shared" ca="1" si="78"/>
        <v>0</v>
      </c>
    </row>
    <row r="90" spans="1:59" ht="15.75" customHeight="1" x14ac:dyDescent="0.2">
      <c r="A90" s="19">
        <f t="shared" si="52"/>
        <v>1</v>
      </c>
      <c r="B90" s="20">
        <f t="shared" si="53"/>
        <v>1</v>
      </c>
      <c r="C90" s="20">
        <f t="shared" ca="1" si="54"/>
        <v>0</v>
      </c>
      <c r="D90" s="50">
        <f t="shared" ca="1" si="79"/>
        <v>1</v>
      </c>
      <c r="E90" s="11" t="s">
        <v>464</v>
      </c>
      <c r="F90" s="11" t="s">
        <v>149</v>
      </c>
      <c r="G90" s="11">
        <v>1000000089</v>
      </c>
      <c r="H90" s="11" t="s">
        <v>251</v>
      </c>
      <c r="I90" s="11" t="s">
        <v>200</v>
      </c>
      <c r="J90" s="11" t="s">
        <v>169</v>
      </c>
      <c r="K90" s="11" t="s">
        <v>185</v>
      </c>
      <c r="L90" s="70">
        <v>29907</v>
      </c>
      <c r="M90" s="11" t="s">
        <v>465</v>
      </c>
      <c r="N90" s="11">
        <v>3371547788</v>
      </c>
      <c r="O90" s="11" t="s">
        <v>466</v>
      </c>
      <c r="P90" s="11" t="s">
        <v>144</v>
      </c>
      <c r="Q90" s="11" t="s">
        <v>145</v>
      </c>
      <c r="R90" s="68">
        <v>45887</v>
      </c>
      <c r="S90" s="11" t="s">
        <v>157</v>
      </c>
      <c r="T90" s="11" t="s">
        <v>166</v>
      </c>
      <c r="U90" s="11">
        <v>90000</v>
      </c>
      <c r="V90" s="68">
        <v>46206</v>
      </c>
      <c r="W90" s="12">
        <f t="shared" si="55"/>
        <v>1</v>
      </c>
      <c r="X90" s="12">
        <f t="shared" si="56"/>
        <v>1</v>
      </c>
      <c r="Y90" s="12">
        <f t="shared" si="57"/>
        <v>1</v>
      </c>
      <c r="Z90" s="12">
        <f t="shared" si="58"/>
        <v>1</v>
      </c>
      <c r="AA90" s="12">
        <f t="shared" si="59"/>
        <v>1</v>
      </c>
      <c r="AB90" s="12">
        <f t="shared" si="60"/>
        <v>1</v>
      </c>
      <c r="AC90" s="12">
        <f t="shared" si="61"/>
        <v>1</v>
      </c>
      <c r="AD90" s="12">
        <f t="shared" si="80"/>
        <v>1</v>
      </c>
      <c r="AE90" s="12">
        <f t="shared" si="81"/>
        <v>1</v>
      </c>
      <c r="AF90" s="12">
        <f t="shared" si="82"/>
        <v>1</v>
      </c>
      <c r="AG90" s="12">
        <f t="shared" si="83"/>
        <v>1</v>
      </c>
      <c r="AH90" s="12">
        <f t="shared" si="84"/>
        <v>1</v>
      </c>
      <c r="AI90" s="12">
        <f t="shared" si="85"/>
        <v>1</v>
      </c>
      <c r="AJ90" s="12">
        <f t="shared" si="86"/>
        <v>1</v>
      </c>
      <c r="AK90" s="12">
        <f t="shared" si="87"/>
        <v>1</v>
      </c>
      <c r="AL90" s="12">
        <f t="shared" si="88"/>
        <v>1</v>
      </c>
      <c r="AM90" s="12">
        <f t="shared" si="62"/>
        <v>1</v>
      </c>
      <c r="AN90" s="12">
        <f t="shared" si="63"/>
        <v>1</v>
      </c>
      <c r="AO90" s="12">
        <f t="shared" si="64"/>
        <v>1</v>
      </c>
      <c r="AP90" s="12">
        <f t="shared" si="65"/>
        <v>1</v>
      </c>
      <c r="AQ90" s="12">
        <f t="shared" si="66"/>
        <v>1</v>
      </c>
      <c r="AR90" s="12">
        <f t="shared" si="67"/>
        <v>1</v>
      </c>
      <c r="AS90" s="12" cm="1">
        <f t="array" ref="AS90">IF(AND(H90&lt;&gt;"",SUMPRODUCT(--ISNUMBER(FIND({0;1;2;3;4;5;6;7;8;9},H90)))=0),1,0)</f>
        <v>1</v>
      </c>
      <c r="AT90" s="12" cm="1">
        <f t="array" ref="AT90">IF(AND(I90&lt;&gt;"",SUMPRODUCT(--ISNUMBER(FIND({0;1;2;3;4;5;6;7;8;9},I90)))=0),1,0)</f>
        <v>1</v>
      </c>
      <c r="AU90" s="12" cm="1">
        <f t="array" ref="AU90">IF(AND(J90&lt;&gt;"",SUMPRODUCT(--ISNUMBER(FIND({0;1;2;3;4;5;6;7;8;9},J90)))=0),1,0)</f>
        <v>1</v>
      </c>
      <c r="AV90" s="12">
        <f t="shared" si="89"/>
        <v>1</v>
      </c>
      <c r="AW90" s="12">
        <f t="shared" ca="1" si="68"/>
        <v>1</v>
      </c>
      <c r="AX90" s="12">
        <f t="shared" si="69"/>
        <v>1</v>
      </c>
      <c r="AY90" s="12">
        <f t="shared" si="70"/>
        <v>1</v>
      </c>
      <c r="AZ90" s="12">
        <f t="shared" si="71"/>
        <v>1</v>
      </c>
      <c r="BA90" s="12">
        <f t="shared" si="72"/>
        <v>1</v>
      </c>
      <c r="BB90" s="12">
        <f t="shared" si="73"/>
        <v>1</v>
      </c>
      <c r="BC90" s="12">
        <f t="shared" ca="1" si="74"/>
        <v>1</v>
      </c>
      <c r="BD90" s="12">
        <f t="shared" si="75"/>
        <v>1</v>
      </c>
      <c r="BE90" s="12">
        <f t="shared" si="76"/>
        <v>1</v>
      </c>
      <c r="BF90" s="12">
        <f t="shared" si="77"/>
        <v>1</v>
      </c>
      <c r="BG90" s="12">
        <f t="shared" ca="1" si="78"/>
        <v>0</v>
      </c>
    </row>
    <row r="91" spans="1:59" ht="15.75" customHeight="1" x14ac:dyDescent="0.2">
      <c r="A91" s="19">
        <f t="shared" si="52"/>
        <v>1</v>
      </c>
      <c r="B91" s="20">
        <f t="shared" si="53"/>
        <v>0</v>
      </c>
      <c r="C91" s="20">
        <f t="shared" ca="1" si="54"/>
        <v>0</v>
      </c>
      <c r="D91" s="50">
        <f t="shared" ca="1" si="79"/>
        <v>1</v>
      </c>
      <c r="E91" s="11" t="s">
        <v>467</v>
      </c>
      <c r="F91" s="11" t="s">
        <v>149</v>
      </c>
      <c r="G91" s="11">
        <v>1000000090</v>
      </c>
      <c r="I91" s="11" t="s">
        <v>139</v>
      </c>
      <c r="J91" s="11" t="s">
        <v>212</v>
      </c>
      <c r="K91" s="11" t="s">
        <v>141</v>
      </c>
      <c r="L91" s="70">
        <v>27963</v>
      </c>
      <c r="M91" s="11" t="s">
        <v>468</v>
      </c>
      <c r="N91" s="11">
        <v>3650087664</v>
      </c>
      <c r="O91" s="11" t="s">
        <v>469</v>
      </c>
      <c r="P91" s="11" t="s">
        <v>155</v>
      </c>
      <c r="Q91" s="11" t="s">
        <v>156</v>
      </c>
      <c r="R91" s="68">
        <v>45958</v>
      </c>
      <c r="S91" s="11" t="s">
        <v>146</v>
      </c>
      <c r="T91" s="11" t="s">
        <v>147</v>
      </c>
      <c r="U91" s="11">
        <v>85000</v>
      </c>
      <c r="V91" s="68">
        <v>46009</v>
      </c>
      <c r="W91" s="12">
        <f t="shared" si="55"/>
        <v>1</v>
      </c>
      <c r="X91" s="12">
        <f t="shared" si="56"/>
        <v>1</v>
      </c>
      <c r="Y91" s="12">
        <f t="shared" si="57"/>
        <v>1</v>
      </c>
      <c r="Z91" s="12">
        <f t="shared" si="58"/>
        <v>1</v>
      </c>
      <c r="AA91" s="12">
        <f t="shared" si="59"/>
        <v>1</v>
      </c>
      <c r="AB91" s="12">
        <f t="shared" si="60"/>
        <v>0</v>
      </c>
      <c r="AC91" s="12">
        <f t="shared" si="61"/>
        <v>1</v>
      </c>
      <c r="AD91" s="12">
        <f t="shared" si="80"/>
        <v>1</v>
      </c>
      <c r="AE91" s="12">
        <f t="shared" si="81"/>
        <v>1</v>
      </c>
      <c r="AF91" s="12">
        <f t="shared" si="82"/>
        <v>1</v>
      </c>
      <c r="AG91" s="12">
        <f t="shared" si="83"/>
        <v>1</v>
      </c>
      <c r="AH91" s="12">
        <f t="shared" si="84"/>
        <v>1</v>
      </c>
      <c r="AI91" s="12">
        <f t="shared" si="85"/>
        <v>1</v>
      </c>
      <c r="AJ91" s="12">
        <f t="shared" si="86"/>
        <v>1</v>
      </c>
      <c r="AK91" s="12">
        <f t="shared" si="87"/>
        <v>1</v>
      </c>
      <c r="AL91" s="12">
        <f t="shared" si="88"/>
        <v>1</v>
      </c>
      <c r="AM91" s="12">
        <f t="shared" si="62"/>
        <v>1</v>
      </c>
      <c r="AN91" s="12">
        <f t="shared" si="63"/>
        <v>1</v>
      </c>
      <c r="AO91" s="12">
        <f t="shared" si="64"/>
        <v>1</v>
      </c>
      <c r="AP91" s="12">
        <f t="shared" si="65"/>
        <v>1</v>
      </c>
      <c r="AQ91" s="12">
        <f t="shared" si="66"/>
        <v>1</v>
      </c>
      <c r="AR91" s="12">
        <f t="shared" si="67"/>
        <v>1</v>
      </c>
      <c r="AS91" s="12" cm="1">
        <f t="array" ref="AS91">IF(AND(H91&lt;&gt;"",SUMPRODUCT(--ISNUMBER(FIND({0;1;2;3;4;5;6;7;8;9},H91)))=0),1,0)</f>
        <v>0</v>
      </c>
      <c r="AT91" s="12" cm="1">
        <f t="array" ref="AT91">IF(AND(I91&lt;&gt;"",SUMPRODUCT(--ISNUMBER(FIND({0;1;2;3;4;5;6;7;8;9},I91)))=0),1,0)</f>
        <v>1</v>
      </c>
      <c r="AU91" s="12" cm="1">
        <f t="array" ref="AU91">IF(AND(J91&lt;&gt;"",SUMPRODUCT(--ISNUMBER(FIND({0;1;2;3;4;5;6;7;8;9},J91)))=0),1,0)</f>
        <v>1</v>
      </c>
      <c r="AV91" s="12">
        <f t="shared" si="89"/>
        <v>1</v>
      </c>
      <c r="AW91" s="12">
        <f t="shared" ca="1" si="68"/>
        <v>1</v>
      </c>
      <c r="AX91" s="12">
        <f t="shared" si="69"/>
        <v>1</v>
      </c>
      <c r="AY91" s="12">
        <f t="shared" si="70"/>
        <v>1</v>
      </c>
      <c r="AZ91" s="12">
        <f t="shared" si="71"/>
        <v>1</v>
      </c>
      <c r="BA91" s="12">
        <f t="shared" si="72"/>
        <v>1</v>
      </c>
      <c r="BB91" s="12">
        <f t="shared" si="73"/>
        <v>1</v>
      </c>
      <c r="BC91" s="12">
        <f t="shared" ca="1" si="74"/>
        <v>1</v>
      </c>
      <c r="BD91" s="12">
        <f t="shared" si="75"/>
        <v>1</v>
      </c>
      <c r="BE91" s="12">
        <f t="shared" si="76"/>
        <v>1</v>
      </c>
      <c r="BF91" s="12">
        <f t="shared" si="77"/>
        <v>1</v>
      </c>
      <c r="BG91" s="12">
        <f t="shared" ca="1" si="78"/>
        <v>1</v>
      </c>
    </row>
    <row r="92" spans="1:59" ht="15.75" customHeight="1" x14ac:dyDescent="0.2">
      <c r="A92" s="19">
        <f t="shared" si="52"/>
        <v>1</v>
      </c>
      <c r="B92" s="20">
        <f t="shared" si="53"/>
        <v>1</v>
      </c>
      <c r="C92" s="20">
        <f t="shared" ca="1" si="54"/>
        <v>1</v>
      </c>
      <c r="D92" s="50">
        <f t="shared" ca="1" si="79"/>
        <v>0</v>
      </c>
      <c r="E92" s="11" t="s">
        <v>470</v>
      </c>
      <c r="F92" s="11" t="s">
        <v>149</v>
      </c>
      <c r="G92" s="11">
        <v>1000000091</v>
      </c>
      <c r="H92" s="11" t="s">
        <v>274</v>
      </c>
      <c r="I92" s="11" t="s">
        <v>260</v>
      </c>
      <c r="J92" s="11" t="s">
        <v>194</v>
      </c>
      <c r="K92" s="11" t="s">
        <v>141</v>
      </c>
      <c r="L92" s="70">
        <v>33689</v>
      </c>
      <c r="M92" s="11" t="s">
        <v>471</v>
      </c>
      <c r="N92" s="11">
        <v>3774148110</v>
      </c>
      <c r="O92" s="11" t="s">
        <v>472</v>
      </c>
      <c r="P92" s="11" t="s">
        <v>155</v>
      </c>
      <c r="Q92" s="11" t="s">
        <v>156</v>
      </c>
      <c r="R92" s="68">
        <v>45899</v>
      </c>
      <c r="S92" s="11" t="s">
        <v>157</v>
      </c>
      <c r="T92" s="11" t="s">
        <v>166</v>
      </c>
      <c r="U92" s="11">
        <v>75000</v>
      </c>
      <c r="V92" s="68">
        <v>45965</v>
      </c>
      <c r="W92" s="12">
        <f t="shared" si="55"/>
        <v>1</v>
      </c>
      <c r="X92" s="12">
        <f t="shared" si="56"/>
        <v>1</v>
      </c>
      <c r="Y92" s="12">
        <f t="shared" si="57"/>
        <v>1</v>
      </c>
      <c r="Z92" s="12">
        <f t="shared" si="58"/>
        <v>1</v>
      </c>
      <c r="AA92" s="12">
        <f t="shared" si="59"/>
        <v>1</v>
      </c>
      <c r="AB92" s="12">
        <f t="shared" si="60"/>
        <v>1</v>
      </c>
      <c r="AC92" s="12">
        <f t="shared" si="61"/>
        <v>1</v>
      </c>
      <c r="AD92" s="12">
        <f t="shared" si="80"/>
        <v>1</v>
      </c>
      <c r="AE92" s="12">
        <f t="shared" si="81"/>
        <v>1</v>
      </c>
      <c r="AF92" s="12">
        <f t="shared" si="82"/>
        <v>1</v>
      </c>
      <c r="AG92" s="12">
        <f t="shared" si="83"/>
        <v>1</v>
      </c>
      <c r="AH92" s="12">
        <f t="shared" si="84"/>
        <v>1</v>
      </c>
      <c r="AI92" s="12">
        <f t="shared" si="85"/>
        <v>1</v>
      </c>
      <c r="AJ92" s="12">
        <f t="shared" si="86"/>
        <v>1</v>
      </c>
      <c r="AK92" s="12">
        <f t="shared" si="87"/>
        <v>1</v>
      </c>
      <c r="AL92" s="12">
        <f t="shared" si="88"/>
        <v>1</v>
      </c>
      <c r="AM92" s="12">
        <f t="shared" si="62"/>
        <v>1</v>
      </c>
      <c r="AN92" s="12">
        <f t="shared" si="63"/>
        <v>1</v>
      </c>
      <c r="AO92" s="12">
        <f t="shared" si="64"/>
        <v>1</v>
      </c>
      <c r="AP92" s="12">
        <f t="shared" si="65"/>
        <v>1</v>
      </c>
      <c r="AQ92" s="12">
        <f t="shared" si="66"/>
        <v>1</v>
      </c>
      <c r="AR92" s="12">
        <f t="shared" si="67"/>
        <v>1</v>
      </c>
      <c r="AS92" s="12" cm="1">
        <f t="array" ref="AS92">IF(AND(H92&lt;&gt;"",SUMPRODUCT(--ISNUMBER(FIND({0;1;2;3;4;5;6;7;8;9},H92)))=0),1,0)</f>
        <v>1</v>
      </c>
      <c r="AT92" s="12" cm="1">
        <f t="array" ref="AT92">IF(AND(I92&lt;&gt;"",SUMPRODUCT(--ISNUMBER(FIND({0;1;2;3;4;5;6;7;8;9},I92)))=0),1,0)</f>
        <v>1</v>
      </c>
      <c r="AU92" s="12" cm="1">
        <f t="array" ref="AU92">IF(AND(J92&lt;&gt;"",SUMPRODUCT(--ISNUMBER(FIND({0;1;2;3;4;5;6;7;8;9},J92)))=0),1,0)</f>
        <v>1</v>
      </c>
      <c r="AV92" s="12">
        <f t="shared" si="89"/>
        <v>1</v>
      </c>
      <c r="AW92" s="12">
        <f t="shared" ca="1" si="68"/>
        <v>1</v>
      </c>
      <c r="AX92" s="12">
        <f t="shared" si="69"/>
        <v>1</v>
      </c>
      <c r="AY92" s="12">
        <f t="shared" si="70"/>
        <v>1</v>
      </c>
      <c r="AZ92" s="12">
        <f t="shared" si="71"/>
        <v>1</v>
      </c>
      <c r="BA92" s="12">
        <f t="shared" si="72"/>
        <v>1</v>
      </c>
      <c r="BB92" s="12">
        <f t="shared" si="73"/>
        <v>1</v>
      </c>
      <c r="BC92" s="12">
        <f t="shared" ca="1" si="74"/>
        <v>1</v>
      </c>
      <c r="BD92" s="12">
        <f t="shared" si="75"/>
        <v>1</v>
      </c>
      <c r="BE92" s="12">
        <f t="shared" si="76"/>
        <v>1</v>
      </c>
      <c r="BF92" s="12">
        <f t="shared" si="77"/>
        <v>1</v>
      </c>
      <c r="BG92" s="12">
        <f t="shared" ca="1" si="78"/>
        <v>1</v>
      </c>
    </row>
    <row r="93" spans="1:59" ht="15.75" customHeight="1" x14ac:dyDescent="0.2">
      <c r="A93" s="19">
        <f t="shared" si="52"/>
        <v>1</v>
      </c>
      <c r="B93" s="20">
        <f t="shared" si="53"/>
        <v>1</v>
      </c>
      <c r="C93" s="20">
        <f t="shared" ca="1" si="54"/>
        <v>1</v>
      </c>
      <c r="D93" s="50">
        <f t="shared" ca="1" si="79"/>
        <v>0</v>
      </c>
      <c r="E93" s="11" t="s">
        <v>473</v>
      </c>
      <c r="F93" s="11" t="s">
        <v>149</v>
      </c>
      <c r="G93" s="11">
        <v>1000000092</v>
      </c>
      <c r="H93" s="11" t="s">
        <v>220</v>
      </c>
      <c r="I93" s="11" t="s">
        <v>235</v>
      </c>
      <c r="J93" s="11" t="s">
        <v>151</v>
      </c>
      <c r="K93" s="11" t="s">
        <v>141</v>
      </c>
      <c r="L93" s="70">
        <v>38590</v>
      </c>
      <c r="M93" s="11" t="s">
        <v>474</v>
      </c>
      <c r="N93" s="11">
        <v>3745757052</v>
      </c>
      <c r="O93" s="11" t="s">
        <v>475</v>
      </c>
      <c r="P93" s="11" t="s">
        <v>172</v>
      </c>
      <c r="Q93" s="11" t="s">
        <v>173</v>
      </c>
      <c r="R93" s="68">
        <v>45387</v>
      </c>
      <c r="S93" s="11" t="s">
        <v>146</v>
      </c>
      <c r="T93" s="11" t="s">
        <v>158</v>
      </c>
      <c r="U93" s="11">
        <v>85000</v>
      </c>
      <c r="V93" s="68">
        <v>45602</v>
      </c>
      <c r="W93" s="12">
        <f t="shared" si="55"/>
        <v>1</v>
      </c>
      <c r="X93" s="12">
        <f t="shared" si="56"/>
        <v>1</v>
      </c>
      <c r="Y93" s="12">
        <f t="shared" si="57"/>
        <v>1</v>
      </c>
      <c r="Z93" s="12">
        <f t="shared" si="58"/>
        <v>1</v>
      </c>
      <c r="AA93" s="12">
        <f t="shared" si="59"/>
        <v>1</v>
      </c>
      <c r="AB93" s="12">
        <f t="shared" si="60"/>
        <v>1</v>
      </c>
      <c r="AC93" s="12">
        <f t="shared" si="61"/>
        <v>1</v>
      </c>
      <c r="AD93" s="12">
        <f t="shared" si="80"/>
        <v>1</v>
      </c>
      <c r="AE93" s="12">
        <f t="shared" si="81"/>
        <v>1</v>
      </c>
      <c r="AF93" s="12">
        <f t="shared" si="82"/>
        <v>1</v>
      </c>
      <c r="AG93" s="12">
        <f t="shared" si="83"/>
        <v>1</v>
      </c>
      <c r="AH93" s="12">
        <f t="shared" si="84"/>
        <v>1</v>
      </c>
      <c r="AI93" s="12">
        <f t="shared" si="85"/>
        <v>1</v>
      </c>
      <c r="AJ93" s="12">
        <f t="shared" si="86"/>
        <v>1</v>
      </c>
      <c r="AK93" s="12">
        <f t="shared" si="87"/>
        <v>1</v>
      </c>
      <c r="AL93" s="12">
        <f t="shared" si="88"/>
        <v>1</v>
      </c>
      <c r="AM93" s="12">
        <f t="shared" si="62"/>
        <v>1</v>
      </c>
      <c r="AN93" s="12">
        <f t="shared" si="63"/>
        <v>1</v>
      </c>
      <c r="AO93" s="12">
        <f t="shared" si="64"/>
        <v>1</v>
      </c>
      <c r="AP93" s="12">
        <f t="shared" si="65"/>
        <v>1</v>
      </c>
      <c r="AQ93" s="12">
        <f t="shared" si="66"/>
        <v>1</v>
      </c>
      <c r="AR93" s="12">
        <f t="shared" si="67"/>
        <v>1</v>
      </c>
      <c r="AS93" s="12" cm="1">
        <f t="array" ref="AS93">IF(AND(H93&lt;&gt;"",SUMPRODUCT(--ISNUMBER(FIND({0;1;2;3;4;5;6;7;8;9},H93)))=0),1,0)</f>
        <v>1</v>
      </c>
      <c r="AT93" s="12" cm="1">
        <f t="array" ref="AT93">IF(AND(I93&lt;&gt;"",SUMPRODUCT(--ISNUMBER(FIND({0;1;2;3;4;5;6;7;8;9},I93)))=0),1,0)</f>
        <v>1</v>
      </c>
      <c r="AU93" s="12" cm="1">
        <f t="array" ref="AU93">IF(AND(J93&lt;&gt;"",SUMPRODUCT(--ISNUMBER(FIND({0;1;2;3;4;5;6;7;8;9},J93)))=0),1,0)</f>
        <v>1</v>
      </c>
      <c r="AV93" s="12">
        <f t="shared" si="89"/>
        <v>1</v>
      </c>
      <c r="AW93" s="12">
        <f t="shared" ca="1" si="68"/>
        <v>1</v>
      </c>
      <c r="AX93" s="12">
        <f t="shared" si="69"/>
        <v>1</v>
      </c>
      <c r="AY93" s="12">
        <f t="shared" si="70"/>
        <v>1</v>
      </c>
      <c r="AZ93" s="12">
        <f t="shared" si="71"/>
        <v>1</v>
      </c>
      <c r="BA93" s="12">
        <f t="shared" si="72"/>
        <v>1</v>
      </c>
      <c r="BB93" s="12">
        <f t="shared" si="73"/>
        <v>1</v>
      </c>
      <c r="BC93" s="12">
        <f t="shared" ca="1" si="74"/>
        <v>1</v>
      </c>
      <c r="BD93" s="12">
        <f t="shared" si="75"/>
        <v>1</v>
      </c>
      <c r="BE93" s="12">
        <f t="shared" si="76"/>
        <v>1</v>
      </c>
      <c r="BF93" s="12">
        <f t="shared" si="77"/>
        <v>1</v>
      </c>
      <c r="BG93" s="12">
        <f t="shared" ca="1" si="78"/>
        <v>1</v>
      </c>
    </row>
    <row r="94" spans="1:59" ht="15.75" customHeight="1" x14ac:dyDescent="0.2">
      <c r="A94" s="19">
        <f t="shared" si="52"/>
        <v>1</v>
      </c>
      <c r="B94" s="20">
        <f t="shared" si="53"/>
        <v>1</v>
      </c>
      <c r="C94" s="20">
        <f t="shared" ca="1" si="54"/>
        <v>0</v>
      </c>
      <c r="D94" s="50">
        <f t="shared" ca="1" si="79"/>
        <v>1</v>
      </c>
      <c r="E94" s="11" t="s">
        <v>476</v>
      </c>
      <c r="F94" s="11" t="s">
        <v>137</v>
      </c>
      <c r="G94" s="11">
        <v>1000000093</v>
      </c>
      <c r="H94" s="11" t="s">
        <v>138</v>
      </c>
      <c r="I94" s="11" t="s">
        <v>140</v>
      </c>
      <c r="J94" s="11" t="s">
        <v>168</v>
      </c>
      <c r="K94" s="11" t="s">
        <v>141</v>
      </c>
      <c r="L94" s="70">
        <v>34282</v>
      </c>
      <c r="M94" s="11" t="s">
        <v>477</v>
      </c>
      <c r="N94" s="11">
        <v>3167383306</v>
      </c>
      <c r="O94" s="11" t="s">
        <v>478</v>
      </c>
      <c r="P94" s="11" t="s">
        <v>172</v>
      </c>
      <c r="Q94" s="11" t="s">
        <v>173</v>
      </c>
      <c r="R94" s="68">
        <v>46151</v>
      </c>
      <c r="S94" s="11" t="s">
        <v>174</v>
      </c>
      <c r="T94" s="11" t="s">
        <v>166</v>
      </c>
      <c r="U94" s="11">
        <v>85000</v>
      </c>
      <c r="V94" s="68">
        <v>46395</v>
      </c>
      <c r="W94" s="12">
        <f t="shared" si="55"/>
        <v>1</v>
      </c>
      <c r="X94" s="12">
        <f t="shared" si="56"/>
        <v>1</v>
      </c>
      <c r="Y94" s="12">
        <f t="shared" si="57"/>
        <v>1</v>
      </c>
      <c r="Z94" s="12">
        <f t="shared" si="58"/>
        <v>1</v>
      </c>
      <c r="AA94" s="12">
        <f t="shared" si="59"/>
        <v>1</v>
      </c>
      <c r="AB94" s="12">
        <f t="shared" si="60"/>
        <v>1</v>
      </c>
      <c r="AC94" s="12">
        <f t="shared" si="61"/>
        <v>1</v>
      </c>
      <c r="AD94" s="12">
        <f t="shared" si="80"/>
        <v>1</v>
      </c>
      <c r="AE94" s="12">
        <f t="shared" si="81"/>
        <v>1</v>
      </c>
      <c r="AF94" s="12">
        <f t="shared" si="82"/>
        <v>1</v>
      </c>
      <c r="AG94" s="12">
        <f t="shared" si="83"/>
        <v>1</v>
      </c>
      <c r="AH94" s="12">
        <f t="shared" si="84"/>
        <v>1</v>
      </c>
      <c r="AI94" s="12">
        <f t="shared" si="85"/>
        <v>1</v>
      </c>
      <c r="AJ94" s="12">
        <f t="shared" si="86"/>
        <v>1</v>
      </c>
      <c r="AK94" s="12">
        <f t="shared" si="87"/>
        <v>1</v>
      </c>
      <c r="AL94" s="12">
        <f t="shared" si="88"/>
        <v>1</v>
      </c>
      <c r="AM94" s="12">
        <f t="shared" si="62"/>
        <v>1</v>
      </c>
      <c r="AN94" s="12">
        <f t="shared" si="63"/>
        <v>1</v>
      </c>
      <c r="AO94" s="12">
        <f t="shared" si="64"/>
        <v>1</v>
      </c>
      <c r="AP94" s="12">
        <f t="shared" si="65"/>
        <v>1</v>
      </c>
      <c r="AQ94" s="12">
        <f t="shared" si="66"/>
        <v>1</v>
      </c>
      <c r="AR94" s="12">
        <f t="shared" si="67"/>
        <v>1</v>
      </c>
      <c r="AS94" s="12" cm="1">
        <f t="array" ref="AS94">IF(AND(H94&lt;&gt;"",SUMPRODUCT(--ISNUMBER(FIND({0;1;2;3;4;5;6;7;8;9},H94)))=0),1,0)</f>
        <v>1</v>
      </c>
      <c r="AT94" s="12" cm="1">
        <f t="array" ref="AT94">IF(AND(I94&lt;&gt;"",SUMPRODUCT(--ISNUMBER(FIND({0;1;2;3;4;5;6;7;8;9},I94)))=0),1,0)</f>
        <v>1</v>
      </c>
      <c r="AU94" s="12" cm="1">
        <f t="array" ref="AU94">IF(AND(J94&lt;&gt;"",SUMPRODUCT(--ISNUMBER(FIND({0;1;2;3;4;5;6;7;8;9},J94)))=0),1,0)</f>
        <v>1</v>
      </c>
      <c r="AV94" s="12">
        <f t="shared" si="89"/>
        <v>1</v>
      </c>
      <c r="AW94" s="12">
        <f t="shared" ca="1" si="68"/>
        <v>1</v>
      </c>
      <c r="AX94" s="12">
        <f t="shared" si="69"/>
        <v>1</v>
      </c>
      <c r="AY94" s="12">
        <f t="shared" si="70"/>
        <v>1</v>
      </c>
      <c r="AZ94" s="12">
        <f t="shared" si="71"/>
        <v>1</v>
      </c>
      <c r="BA94" s="12">
        <f t="shared" si="72"/>
        <v>1</v>
      </c>
      <c r="BB94" s="12">
        <f t="shared" si="73"/>
        <v>1</v>
      </c>
      <c r="BC94" s="12">
        <f t="shared" ca="1" si="74"/>
        <v>1</v>
      </c>
      <c r="BD94" s="12">
        <f t="shared" si="75"/>
        <v>1</v>
      </c>
      <c r="BE94" s="12">
        <f t="shared" si="76"/>
        <v>1</v>
      </c>
      <c r="BF94" s="12">
        <f t="shared" si="77"/>
        <v>1</v>
      </c>
      <c r="BG94" s="12">
        <f t="shared" ca="1" si="78"/>
        <v>0</v>
      </c>
    </row>
    <row r="95" spans="1:59" ht="15.75" customHeight="1" x14ac:dyDescent="0.2">
      <c r="A95" s="19">
        <f t="shared" si="52"/>
        <v>1</v>
      </c>
      <c r="B95" s="20">
        <f t="shared" si="53"/>
        <v>1</v>
      </c>
      <c r="C95" s="20">
        <f t="shared" ca="1" si="54"/>
        <v>1</v>
      </c>
      <c r="D95" s="50">
        <f t="shared" ca="1" si="79"/>
        <v>0</v>
      </c>
      <c r="E95" s="11" t="s">
        <v>479</v>
      </c>
      <c r="F95" s="11" t="s">
        <v>149</v>
      </c>
      <c r="G95" s="11">
        <v>1000000094</v>
      </c>
      <c r="H95" s="11" t="s">
        <v>138</v>
      </c>
      <c r="I95" s="11" t="s">
        <v>152</v>
      </c>
      <c r="J95" s="11" t="s">
        <v>139</v>
      </c>
      <c r="K95" s="11" t="s">
        <v>141</v>
      </c>
      <c r="L95" s="70">
        <v>33700</v>
      </c>
      <c r="M95" s="11" t="s">
        <v>480</v>
      </c>
      <c r="N95" s="11">
        <v>3440356008</v>
      </c>
      <c r="O95" s="11" t="s">
        <v>481</v>
      </c>
      <c r="P95" s="11" t="s">
        <v>172</v>
      </c>
      <c r="Q95" s="11" t="s">
        <v>173</v>
      </c>
      <c r="R95" s="68">
        <v>45143</v>
      </c>
      <c r="S95" s="11" t="s">
        <v>157</v>
      </c>
      <c r="T95" s="11" t="s">
        <v>147</v>
      </c>
      <c r="U95" s="11">
        <v>75000</v>
      </c>
      <c r="V95" s="68">
        <v>45153</v>
      </c>
      <c r="W95" s="12">
        <f t="shared" si="55"/>
        <v>1</v>
      </c>
      <c r="X95" s="12">
        <f t="shared" si="56"/>
        <v>1</v>
      </c>
      <c r="Y95" s="12">
        <f t="shared" si="57"/>
        <v>1</v>
      </c>
      <c r="Z95" s="12">
        <f t="shared" si="58"/>
        <v>1</v>
      </c>
      <c r="AA95" s="12">
        <f t="shared" si="59"/>
        <v>1</v>
      </c>
      <c r="AB95" s="12">
        <f t="shared" si="60"/>
        <v>1</v>
      </c>
      <c r="AC95" s="12">
        <f t="shared" si="61"/>
        <v>1</v>
      </c>
      <c r="AD95" s="12">
        <f t="shared" si="80"/>
        <v>1</v>
      </c>
      <c r="AE95" s="12">
        <f t="shared" si="81"/>
        <v>1</v>
      </c>
      <c r="AF95" s="12">
        <f t="shared" si="82"/>
        <v>1</v>
      </c>
      <c r="AG95" s="12">
        <f t="shared" si="83"/>
        <v>1</v>
      </c>
      <c r="AH95" s="12">
        <f t="shared" si="84"/>
        <v>1</v>
      </c>
      <c r="AI95" s="12">
        <f t="shared" si="85"/>
        <v>1</v>
      </c>
      <c r="AJ95" s="12">
        <f t="shared" si="86"/>
        <v>1</v>
      </c>
      <c r="AK95" s="12">
        <f t="shared" si="87"/>
        <v>1</v>
      </c>
      <c r="AL95" s="12">
        <f t="shared" si="88"/>
        <v>1</v>
      </c>
      <c r="AM95" s="12">
        <f t="shared" si="62"/>
        <v>1</v>
      </c>
      <c r="AN95" s="12">
        <f t="shared" si="63"/>
        <v>1</v>
      </c>
      <c r="AO95" s="12">
        <f t="shared" si="64"/>
        <v>1</v>
      </c>
      <c r="AP95" s="12">
        <f t="shared" si="65"/>
        <v>1</v>
      </c>
      <c r="AQ95" s="12">
        <f t="shared" si="66"/>
        <v>1</v>
      </c>
      <c r="AR95" s="12">
        <f t="shared" si="67"/>
        <v>1</v>
      </c>
      <c r="AS95" s="12" cm="1">
        <f t="array" ref="AS95">IF(AND(H95&lt;&gt;"",SUMPRODUCT(--ISNUMBER(FIND({0;1;2;3;4;5;6;7;8;9},H95)))=0),1,0)</f>
        <v>1</v>
      </c>
      <c r="AT95" s="12" cm="1">
        <f t="array" ref="AT95">IF(AND(I95&lt;&gt;"",SUMPRODUCT(--ISNUMBER(FIND({0;1;2;3;4;5;6;7;8;9},I95)))=0),1,0)</f>
        <v>1</v>
      </c>
      <c r="AU95" s="12" cm="1">
        <f t="array" ref="AU95">IF(AND(J95&lt;&gt;"",SUMPRODUCT(--ISNUMBER(FIND({0;1;2;3;4;5;6;7;8;9},J95)))=0),1,0)</f>
        <v>1</v>
      </c>
      <c r="AV95" s="12">
        <f t="shared" si="89"/>
        <v>1</v>
      </c>
      <c r="AW95" s="12">
        <f t="shared" ca="1" si="68"/>
        <v>1</v>
      </c>
      <c r="AX95" s="12">
        <f t="shared" si="69"/>
        <v>1</v>
      </c>
      <c r="AY95" s="12">
        <f t="shared" si="70"/>
        <v>1</v>
      </c>
      <c r="AZ95" s="12">
        <f t="shared" si="71"/>
        <v>1</v>
      </c>
      <c r="BA95" s="12">
        <f t="shared" si="72"/>
        <v>1</v>
      </c>
      <c r="BB95" s="12">
        <f t="shared" si="73"/>
        <v>1</v>
      </c>
      <c r="BC95" s="12">
        <f t="shared" ca="1" si="74"/>
        <v>1</v>
      </c>
      <c r="BD95" s="12">
        <f t="shared" si="75"/>
        <v>1</v>
      </c>
      <c r="BE95" s="12">
        <f t="shared" si="76"/>
        <v>1</v>
      </c>
      <c r="BF95" s="12">
        <f t="shared" si="77"/>
        <v>1</v>
      </c>
      <c r="BG95" s="12">
        <f t="shared" ca="1" si="78"/>
        <v>1</v>
      </c>
    </row>
    <row r="96" spans="1:59" ht="15.75" customHeight="1" x14ac:dyDescent="0.2">
      <c r="A96" s="19">
        <f t="shared" si="52"/>
        <v>1</v>
      </c>
      <c r="B96" s="20">
        <f t="shared" si="53"/>
        <v>1</v>
      </c>
      <c r="C96" s="20">
        <f t="shared" ca="1" si="54"/>
        <v>1</v>
      </c>
      <c r="D96" s="50">
        <f t="shared" ca="1" si="79"/>
        <v>0</v>
      </c>
      <c r="E96" s="11" t="s">
        <v>482</v>
      </c>
      <c r="F96" s="11" t="s">
        <v>137</v>
      </c>
      <c r="G96" s="11">
        <v>1000000095</v>
      </c>
      <c r="H96" s="11" t="s">
        <v>182</v>
      </c>
      <c r="I96" s="11" t="s">
        <v>235</v>
      </c>
      <c r="J96" s="11" t="s">
        <v>168</v>
      </c>
      <c r="K96" s="11" t="s">
        <v>185</v>
      </c>
      <c r="L96" s="70">
        <v>32421</v>
      </c>
      <c r="M96" s="11" t="s">
        <v>483</v>
      </c>
      <c r="N96" s="11">
        <v>3175554455</v>
      </c>
      <c r="O96" s="11" t="s">
        <v>484</v>
      </c>
      <c r="P96" s="11" t="s">
        <v>248</v>
      </c>
      <c r="Q96" s="11" t="s">
        <v>249</v>
      </c>
      <c r="R96" s="68">
        <v>45037</v>
      </c>
      <c r="S96" s="11" t="s">
        <v>174</v>
      </c>
      <c r="T96" s="11" t="s">
        <v>158</v>
      </c>
      <c r="U96" s="11">
        <v>85000</v>
      </c>
      <c r="V96" s="68">
        <v>45399</v>
      </c>
      <c r="W96" s="12">
        <f t="shared" si="55"/>
        <v>1</v>
      </c>
      <c r="X96" s="12">
        <f t="shared" si="56"/>
        <v>1</v>
      </c>
      <c r="Y96" s="12">
        <f t="shared" si="57"/>
        <v>1</v>
      </c>
      <c r="Z96" s="12">
        <f t="shared" si="58"/>
        <v>1</v>
      </c>
      <c r="AA96" s="12">
        <f t="shared" si="59"/>
        <v>1</v>
      </c>
      <c r="AB96" s="12">
        <f t="shared" si="60"/>
        <v>1</v>
      </c>
      <c r="AC96" s="12">
        <f t="shared" si="61"/>
        <v>1</v>
      </c>
      <c r="AD96" s="12">
        <f t="shared" si="80"/>
        <v>1</v>
      </c>
      <c r="AE96" s="12">
        <f t="shared" si="81"/>
        <v>1</v>
      </c>
      <c r="AF96" s="12">
        <f t="shared" si="82"/>
        <v>1</v>
      </c>
      <c r="AG96" s="12">
        <f t="shared" si="83"/>
        <v>1</v>
      </c>
      <c r="AH96" s="12">
        <f t="shared" si="84"/>
        <v>1</v>
      </c>
      <c r="AI96" s="12">
        <f t="shared" si="85"/>
        <v>1</v>
      </c>
      <c r="AJ96" s="12">
        <f t="shared" si="86"/>
        <v>1</v>
      </c>
      <c r="AK96" s="12">
        <f t="shared" si="87"/>
        <v>1</v>
      </c>
      <c r="AL96" s="12">
        <f t="shared" si="88"/>
        <v>1</v>
      </c>
      <c r="AM96" s="12">
        <f t="shared" si="62"/>
        <v>1</v>
      </c>
      <c r="AN96" s="12">
        <f t="shared" si="63"/>
        <v>1</v>
      </c>
      <c r="AO96" s="12">
        <f t="shared" si="64"/>
        <v>1</v>
      </c>
      <c r="AP96" s="12">
        <f t="shared" si="65"/>
        <v>1</v>
      </c>
      <c r="AQ96" s="12">
        <f t="shared" si="66"/>
        <v>1</v>
      </c>
      <c r="AR96" s="12">
        <f t="shared" si="67"/>
        <v>1</v>
      </c>
      <c r="AS96" s="12" cm="1">
        <f t="array" ref="AS96">IF(AND(H96&lt;&gt;"",SUMPRODUCT(--ISNUMBER(FIND({0;1;2;3;4;5;6;7;8;9},H96)))=0),1,0)</f>
        <v>1</v>
      </c>
      <c r="AT96" s="12" cm="1">
        <f t="array" ref="AT96">IF(AND(I96&lt;&gt;"",SUMPRODUCT(--ISNUMBER(FIND({0;1;2;3;4;5;6;7;8;9},I96)))=0),1,0)</f>
        <v>1</v>
      </c>
      <c r="AU96" s="12" cm="1">
        <f t="array" ref="AU96">IF(AND(J96&lt;&gt;"",SUMPRODUCT(--ISNUMBER(FIND({0;1;2;3;4;5;6;7;8;9},J96)))=0),1,0)</f>
        <v>1</v>
      </c>
      <c r="AV96" s="12">
        <f t="shared" si="89"/>
        <v>1</v>
      </c>
      <c r="AW96" s="12">
        <f t="shared" ca="1" si="68"/>
        <v>1</v>
      </c>
      <c r="AX96" s="12">
        <f t="shared" si="69"/>
        <v>1</v>
      </c>
      <c r="AY96" s="12">
        <f t="shared" si="70"/>
        <v>1</v>
      </c>
      <c r="AZ96" s="12">
        <f t="shared" si="71"/>
        <v>1</v>
      </c>
      <c r="BA96" s="12">
        <f t="shared" si="72"/>
        <v>1</v>
      </c>
      <c r="BB96" s="12">
        <f t="shared" si="73"/>
        <v>1</v>
      </c>
      <c r="BC96" s="12">
        <f t="shared" ca="1" si="74"/>
        <v>1</v>
      </c>
      <c r="BD96" s="12">
        <f t="shared" si="75"/>
        <v>1</v>
      </c>
      <c r="BE96" s="12">
        <f t="shared" si="76"/>
        <v>1</v>
      </c>
      <c r="BF96" s="12">
        <f t="shared" si="77"/>
        <v>1</v>
      </c>
      <c r="BG96" s="12">
        <f t="shared" ca="1" si="78"/>
        <v>1</v>
      </c>
    </row>
    <row r="97" spans="1:59" ht="15.75" customHeight="1" x14ac:dyDescent="0.2">
      <c r="A97" s="19">
        <f t="shared" si="52"/>
        <v>1</v>
      </c>
      <c r="B97" s="20">
        <f t="shared" si="53"/>
        <v>1</v>
      </c>
      <c r="C97" s="20">
        <f t="shared" ca="1" si="54"/>
        <v>1</v>
      </c>
      <c r="D97" s="50">
        <f t="shared" ca="1" si="79"/>
        <v>0</v>
      </c>
      <c r="E97" s="11" t="s">
        <v>485</v>
      </c>
      <c r="F97" s="11" t="s">
        <v>137</v>
      </c>
      <c r="G97" s="11">
        <v>1000000096</v>
      </c>
      <c r="H97" s="11" t="s">
        <v>281</v>
      </c>
      <c r="I97" s="11" t="s">
        <v>260</v>
      </c>
      <c r="J97" s="11" t="s">
        <v>231</v>
      </c>
      <c r="K97" s="11" t="s">
        <v>185</v>
      </c>
      <c r="L97" s="70">
        <v>24439</v>
      </c>
      <c r="M97" s="11" t="s">
        <v>486</v>
      </c>
      <c r="N97" s="11">
        <v>3888014073</v>
      </c>
      <c r="O97" s="11" t="s">
        <v>487</v>
      </c>
      <c r="P97" s="11" t="s">
        <v>165</v>
      </c>
      <c r="Q97" s="11" t="s">
        <v>156</v>
      </c>
      <c r="R97" s="68">
        <v>44879</v>
      </c>
      <c r="S97" s="11" t="s">
        <v>174</v>
      </c>
      <c r="T97" s="11" t="s">
        <v>166</v>
      </c>
      <c r="U97" s="11">
        <v>75000</v>
      </c>
      <c r="V97" s="68">
        <v>44942</v>
      </c>
      <c r="W97" s="12">
        <f t="shared" si="55"/>
        <v>1</v>
      </c>
      <c r="X97" s="12">
        <f t="shared" si="56"/>
        <v>1</v>
      </c>
      <c r="Y97" s="12">
        <f t="shared" si="57"/>
        <v>1</v>
      </c>
      <c r="Z97" s="12">
        <f t="shared" si="58"/>
        <v>1</v>
      </c>
      <c r="AA97" s="12">
        <f t="shared" si="59"/>
        <v>1</v>
      </c>
      <c r="AB97" s="12">
        <f t="shared" si="60"/>
        <v>1</v>
      </c>
      <c r="AC97" s="12">
        <f t="shared" si="61"/>
        <v>1</v>
      </c>
      <c r="AD97" s="12">
        <f t="shared" si="80"/>
        <v>1</v>
      </c>
      <c r="AE97" s="12">
        <f t="shared" si="81"/>
        <v>1</v>
      </c>
      <c r="AF97" s="12">
        <f t="shared" si="82"/>
        <v>1</v>
      </c>
      <c r="AG97" s="12">
        <f t="shared" si="83"/>
        <v>1</v>
      </c>
      <c r="AH97" s="12">
        <f t="shared" si="84"/>
        <v>1</v>
      </c>
      <c r="AI97" s="12">
        <f t="shared" si="85"/>
        <v>1</v>
      </c>
      <c r="AJ97" s="12">
        <f t="shared" si="86"/>
        <v>1</v>
      </c>
      <c r="AK97" s="12">
        <f t="shared" si="87"/>
        <v>1</v>
      </c>
      <c r="AL97" s="12">
        <f t="shared" si="88"/>
        <v>1</v>
      </c>
      <c r="AM97" s="12">
        <f t="shared" si="62"/>
        <v>1</v>
      </c>
      <c r="AN97" s="12">
        <f t="shared" si="63"/>
        <v>1</v>
      </c>
      <c r="AO97" s="12">
        <f t="shared" si="64"/>
        <v>1</v>
      </c>
      <c r="AP97" s="12">
        <f t="shared" si="65"/>
        <v>1</v>
      </c>
      <c r="AQ97" s="12">
        <f t="shared" si="66"/>
        <v>1</v>
      </c>
      <c r="AR97" s="12">
        <f t="shared" si="67"/>
        <v>1</v>
      </c>
      <c r="AS97" s="12" cm="1">
        <f t="array" ref="AS97">IF(AND(H97&lt;&gt;"",SUMPRODUCT(--ISNUMBER(FIND({0;1;2;3;4;5;6;7;8;9},H97)))=0),1,0)</f>
        <v>1</v>
      </c>
      <c r="AT97" s="12" cm="1">
        <f t="array" ref="AT97">IF(AND(I97&lt;&gt;"",SUMPRODUCT(--ISNUMBER(FIND({0;1;2;3;4;5;6;7;8;9},I97)))=0),1,0)</f>
        <v>1</v>
      </c>
      <c r="AU97" s="12" cm="1">
        <f t="array" ref="AU97">IF(AND(J97&lt;&gt;"",SUMPRODUCT(--ISNUMBER(FIND({0;1;2;3;4;5;6;7;8;9},J97)))=0),1,0)</f>
        <v>1</v>
      </c>
      <c r="AV97" s="12">
        <f t="shared" si="89"/>
        <v>1</v>
      </c>
      <c r="AW97" s="12">
        <f t="shared" ca="1" si="68"/>
        <v>1</v>
      </c>
      <c r="AX97" s="12">
        <f t="shared" si="69"/>
        <v>1</v>
      </c>
      <c r="AY97" s="12">
        <f t="shared" si="70"/>
        <v>1</v>
      </c>
      <c r="AZ97" s="12">
        <f t="shared" si="71"/>
        <v>1</v>
      </c>
      <c r="BA97" s="12">
        <f t="shared" si="72"/>
        <v>1</v>
      </c>
      <c r="BB97" s="12">
        <f t="shared" si="73"/>
        <v>1</v>
      </c>
      <c r="BC97" s="12">
        <f t="shared" ca="1" si="74"/>
        <v>1</v>
      </c>
      <c r="BD97" s="12">
        <f t="shared" si="75"/>
        <v>1</v>
      </c>
      <c r="BE97" s="12">
        <f t="shared" si="76"/>
        <v>1</v>
      </c>
      <c r="BF97" s="12">
        <f t="shared" si="77"/>
        <v>1</v>
      </c>
      <c r="BG97" s="12">
        <f t="shared" ca="1" si="78"/>
        <v>1</v>
      </c>
    </row>
    <row r="98" spans="1:59" ht="15.75" customHeight="1" x14ac:dyDescent="0.2">
      <c r="A98" s="19">
        <f t="shared" si="52"/>
        <v>1</v>
      </c>
      <c r="B98" s="20">
        <f t="shared" si="53"/>
        <v>1</v>
      </c>
      <c r="C98" s="20">
        <f t="shared" ca="1" si="54"/>
        <v>1</v>
      </c>
      <c r="D98" s="50">
        <f t="shared" ca="1" si="79"/>
        <v>0</v>
      </c>
      <c r="E98" s="11" t="s">
        <v>488</v>
      </c>
      <c r="F98" s="11" t="s">
        <v>149</v>
      </c>
      <c r="G98" s="11">
        <v>1000000097</v>
      </c>
      <c r="H98" s="11" t="s">
        <v>251</v>
      </c>
      <c r="I98" s="11" t="s">
        <v>200</v>
      </c>
      <c r="J98" s="11" t="s">
        <v>212</v>
      </c>
      <c r="K98" s="11" t="s">
        <v>185</v>
      </c>
      <c r="L98" s="70">
        <v>34973</v>
      </c>
      <c r="M98" s="11" t="s">
        <v>489</v>
      </c>
      <c r="N98" s="11">
        <v>3532297982</v>
      </c>
      <c r="O98" s="11" t="s">
        <v>490</v>
      </c>
      <c r="P98" s="11" t="s">
        <v>248</v>
      </c>
      <c r="Q98" s="11" t="s">
        <v>249</v>
      </c>
      <c r="R98" s="68">
        <v>45410</v>
      </c>
      <c r="S98" s="11" t="s">
        <v>157</v>
      </c>
      <c r="T98" s="11" t="s">
        <v>166</v>
      </c>
      <c r="U98" s="11">
        <v>95000</v>
      </c>
      <c r="V98" s="68">
        <v>45589</v>
      </c>
      <c r="W98" s="12">
        <f t="shared" si="55"/>
        <v>1</v>
      </c>
      <c r="X98" s="12">
        <f t="shared" si="56"/>
        <v>1</v>
      </c>
      <c r="Y98" s="12">
        <f t="shared" si="57"/>
        <v>1</v>
      </c>
      <c r="Z98" s="12">
        <f t="shared" si="58"/>
        <v>1</v>
      </c>
      <c r="AA98" s="12">
        <f t="shared" si="59"/>
        <v>1</v>
      </c>
      <c r="AB98" s="12">
        <f t="shared" si="60"/>
        <v>1</v>
      </c>
      <c r="AC98" s="12">
        <f t="shared" si="61"/>
        <v>1</v>
      </c>
      <c r="AD98" s="12">
        <f t="shared" si="80"/>
        <v>1</v>
      </c>
      <c r="AE98" s="12">
        <f t="shared" si="81"/>
        <v>1</v>
      </c>
      <c r="AF98" s="12">
        <f t="shared" si="82"/>
        <v>1</v>
      </c>
      <c r="AG98" s="12">
        <f t="shared" si="83"/>
        <v>1</v>
      </c>
      <c r="AH98" s="12">
        <f t="shared" si="84"/>
        <v>1</v>
      </c>
      <c r="AI98" s="12">
        <f t="shared" si="85"/>
        <v>1</v>
      </c>
      <c r="AJ98" s="12">
        <f t="shared" si="86"/>
        <v>1</v>
      </c>
      <c r="AK98" s="12">
        <f t="shared" si="87"/>
        <v>1</v>
      </c>
      <c r="AL98" s="12">
        <f t="shared" si="88"/>
        <v>1</v>
      </c>
      <c r="AM98" s="12">
        <f t="shared" si="62"/>
        <v>1</v>
      </c>
      <c r="AN98" s="12">
        <f t="shared" si="63"/>
        <v>1</v>
      </c>
      <c r="AO98" s="12">
        <f t="shared" si="64"/>
        <v>1</v>
      </c>
      <c r="AP98" s="12">
        <f t="shared" si="65"/>
        <v>1</v>
      </c>
      <c r="AQ98" s="12">
        <f t="shared" si="66"/>
        <v>1</v>
      </c>
      <c r="AR98" s="12">
        <f t="shared" si="67"/>
        <v>1</v>
      </c>
      <c r="AS98" s="12" cm="1">
        <f t="array" ref="AS98">IF(AND(H98&lt;&gt;"",SUMPRODUCT(--ISNUMBER(FIND({0;1;2;3;4;5;6;7;8;9},H98)))=0),1,0)</f>
        <v>1</v>
      </c>
      <c r="AT98" s="12" cm="1">
        <f t="array" ref="AT98">IF(AND(I98&lt;&gt;"",SUMPRODUCT(--ISNUMBER(FIND({0;1;2;3;4;5;6;7;8;9},I98)))=0),1,0)</f>
        <v>1</v>
      </c>
      <c r="AU98" s="12" cm="1">
        <f t="array" ref="AU98">IF(AND(J98&lt;&gt;"",SUMPRODUCT(--ISNUMBER(FIND({0;1;2;3;4;5;6;7;8;9},J98)))=0),1,0)</f>
        <v>1</v>
      </c>
      <c r="AV98" s="12">
        <f t="shared" si="89"/>
        <v>1</v>
      </c>
      <c r="AW98" s="12">
        <f t="shared" ca="1" si="68"/>
        <v>1</v>
      </c>
      <c r="AX98" s="12">
        <f t="shared" si="69"/>
        <v>1</v>
      </c>
      <c r="AY98" s="12">
        <f t="shared" si="70"/>
        <v>1</v>
      </c>
      <c r="AZ98" s="12">
        <f t="shared" si="71"/>
        <v>1</v>
      </c>
      <c r="BA98" s="12">
        <f t="shared" si="72"/>
        <v>1</v>
      </c>
      <c r="BB98" s="12">
        <f t="shared" si="73"/>
        <v>1</v>
      </c>
      <c r="BC98" s="12">
        <f t="shared" ca="1" si="74"/>
        <v>1</v>
      </c>
      <c r="BD98" s="12">
        <f t="shared" si="75"/>
        <v>1</v>
      </c>
      <c r="BE98" s="12">
        <f t="shared" si="76"/>
        <v>1</v>
      </c>
      <c r="BF98" s="12">
        <f t="shared" si="77"/>
        <v>1</v>
      </c>
      <c r="BG98" s="12">
        <f t="shared" ca="1" si="78"/>
        <v>1</v>
      </c>
    </row>
    <row r="99" spans="1:59" ht="15.75" customHeight="1" x14ac:dyDescent="0.2">
      <c r="A99" s="19">
        <f t="shared" si="52"/>
        <v>1</v>
      </c>
      <c r="B99" s="20">
        <f t="shared" si="53"/>
        <v>1</v>
      </c>
      <c r="C99" s="20">
        <f t="shared" ca="1" si="54"/>
        <v>1</v>
      </c>
      <c r="D99" s="50">
        <f t="shared" ca="1" si="79"/>
        <v>0</v>
      </c>
      <c r="E99" s="11" t="s">
        <v>491</v>
      </c>
      <c r="F99" s="11" t="s">
        <v>160</v>
      </c>
      <c r="G99" s="11">
        <v>1000000098</v>
      </c>
      <c r="H99" s="11" t="s">
        <v>274</v>
      </c>
      <c r="I99" s="11" t="s">
        <v>195</v>
      </c>
      <c r="J99" s="11" t="s">
        <v>227</v>
      </c>
      <c r="K99" s="11" t="s">
        <v>141</v>
      </c>
      <c r="L99" s="70">
        <v>33258</v>
      </c>
      <c r="M99" s="11" t="s">
        <v>492</v>
      </c>
      <c r="N99" s="11">
        <v>3200980240</v>
      </c>
      <c r="O99" s="11" t="s">
        <v>493</v>
      </c>
      <c r="P99" s="11" t="s">
        <v>172</v>
      </c>
      <c r="Q99" s="11" t="s">
        <v>173</v>
      </c>
      <c r="R99" s="68">
        <v>44700</v>
      </c>
      <c r="S99" s="11" t="s">
        <v>157</v>
      </c>
      <c r="T99" s="11" t="s">
        <v>147</v>
      </c>
      <c r="U99" s="11">
        <v>85000</v>
      </c>
      <c r="V99" s="68">
        <v>44880</v>
      </c>
      <c r="W99" s="12">
        <f t="shared" si="55"/>
        <v>1</v>
      </c>
      <c r="X99" s="12">
        <f t="shared" si="56"/>
        <v>1</v>
      </c>
      <c r="Y99" s="12">
        <f t="shared" si="57"/>
        <v>1</v>
      </c>
      <c r="Z99" s="12">
        <f t="shared" si="58"/>
        <v>1</v>
      </c>
      <c r="AA99" s="12">
        <f t="shared" si="59"/>
        <v>1</v>
      </c>
      <c r="AB99" s="12">
        <f t="shared" si="60"/>
        <v>1</v>
      </c>
      <c r="AC99" s="12">
        <f t="shared" si="61"/>
        <v>1</v>
      </c>
      <c r="AD99" s="12">
        <f t="shared" si="80"/>
        <v>1</v>
      </c>
      <c r="AE99" s="12">
        <f t="shared" si="81"/>
        <v>1</v>
      </c>
      <c r="AF99" s="12">
        <f t="shared" si="82"/>
        <v>1</v>
      </c>
      <c r="AG99" s="12">
        <f t="shared" si="83"/>
        <v>1</v>
      </c>
      <c r="AH99" s="12">
        <f t="shared" si="84"/>
        <v>1</v>
      </c>
      <c r="AI99" s="12">
        <f t="shared" si="85"/>
        <v>1</v>
      </c>
      <c r="AJ99" s="12">
        <f t="shared" si="86"/>
        <v>1</v>
      </c>
      <c r="AK99" s="12">
        <f t="shared" si="87"/>
        <v>1</v>
      </c>
      <c r="AL99" s="12">
        <f t="shared" si="88"/>
        <v>1</v>
      </c>
      <c r="AM99" s="12">
        <f t="shared" si="62"/>
        <v>1</v>
      </c>
      <c r="AN99" s="12">
        <f t="shared" si="63"/>
        <v>1</v>
      </c>
      <c r="AO99" s="12">
        <f t="shared" si="64"/>
        <v>1</v>
      </c>
      <c r="AP99" s="12">
        <f t="shared" si="65"/>
        <v>1</v>
      </c>
      <c r="AQ99" s="12">
        <f t="shared" si="66"/>
        <v>1</v>
      </c>
      <c r="AR99" s="12">
        <f t="shared" si="67"/>
        <v>1</v>
      </c>
      <c r="AS99" s="12" cm="1">
        <f t="array" ref="AS99">IF(AND(H99&lt;&gt;"",SUMPRODUCT(--ISNUMBER(FIND({0;1;2;3;4;5;6;7;8;9},H99)))=0),1,0)</f>
        <v>1</v>
      </c>
      <c r="AT99" s="12" cm="1">
        <f t="array" ref="AT99">IF(AND(I99&lt;&gt;"",SUMPRODUCT(--ISNUMBER(FIND({0;1;2;3;4;5;6;7;8;9},I99)))=0),1,0)</f>
        <v>1</v>
      </c>
      <c r="AU99" s="12" cm="1">
        <f t="array" ref="AU99">IF(AND(J99&lt;&gt;"",SUMPRODUCT(--ISNUMBER(FIND({0;1;2;3;4;5;6;7;8;9},J99)))=0),1,0)</f>
        <v>1</v>
      </c>
      <c r="AV99" s="12">
        <f t="shared" si="89"/>
        <v>1</v>
      </c>
      <c r="AW99" s="12">
        <f t="shared" ca="1" si="68"/>
        <v>1</v>
      </c>
      <c r="AX99" s="12">
        <f t="shared" si="69"/>
        <v>1</v>
      </c>
      <c r="AY99" s="12">
        <f t="shared" si="70"/>
        <v>1</v>
      </c>
      <c r="AZ99" s="12">
        <f t="shared" si="71"/>
        <v>1</v>
      </c>
      <c r="BA99" s="12">
        <f t="shared" si="72"/>
        <v>1</v>
      </c>
      <c r="BB99" s="12">
        <f t="shared" si="73"/>
        <v>1</v>
      </c>
      <c r="BC99" s="12">
        <f t="shared" ca="1" si="74"/>
        <v>1</v>
      </c>
      <c r="BD99" s="12">
        <f t="shared" si="75"/>
        <v>1</v>
      </c>
      <c r="BE99" s="12">
        <f t="shared" si="76"/>
        <v>1</v>
      </c>
      <c r="BF99" s="12">
        <f t="shared" si="77"/>
        <v>1</v>
      </c>
      <c r="BG99" s="12">
        <f t="shared" ca="1" si="78"/>
        <v>1</v>
      </c>
    </row>
    <row r="100" spans="1:59" ht="15.75" customHeight="1" x14ac:dyDescent="0.2">
      <c r="A100" s="19">
        <f t="shared" si="52"/>
        <v>1</v>
      </c>
      <c r="B100" s="20">
        <f t="shared" si="53"/>
        <v>1</v>
      </c>
      <c r="C100" s="20">
        <f t="shared" ca="1" si="54"/>
        <v>1</v>
      </c>
      <c r="D100" s="50">
        <f t="shared" ca="1" si="79"/>
        <v>0</v>
      </c>
      <c r="E100" s="11" t="s">
        <v>494</v>
      </c>
      <c r="F100" s="11" t="s">
        <v>149</v>
      </c>
      <c r="G100" s="11">
        <v>1000000099</v>
      </c>
      <c r="H100" s="11" t="s">
        <v>138</v>
      </c>
      <c r="I100" s="11" t="s">
        <v>221</v>
      </c>
      <c r="J100" s="11" t="s">
        <v>227</v>
      </c>
      <c r="K100" s="11" t="s">
        <v>141</v>
      </c>
      <c r="L100" s="70">
        <v>23946</v>
      </c>
      <c r="M100" s="11" t="s">
        <v>495</v>
      </c>
      <c r="N100" s="11">
        <v>3668867468</v>
      </c>
      <c r="O100" s="11" t="s">
        <v>496</v>
      </c>
      <c r="P100" s="11" t="s">
        <v>172</v>
      </c>
      <c r="Q100" s="11" t="s">
        <v>173</v>
      </c>
      <c r="R100" s="68">
        <v>44811</v>
      </c>
      <c r="S100" s="11" t="s">
        <v>174</v>
      </c>
      <c r="T100" s="11" t="s">
        <v>147</v>
      </c>
      <c r="U100" s="11">
        <v>95000</v>
      </c>
      <c r="V100" s="68">
        <v>44942</v>
      </c>
      <c r="W100" s="12">
        <f t="shared" si="55"/>
        <v>1</v>
      </c>
      <c r="X100" s="12">
        <f t="shared" si="56"/>
        <v>1</v>
      </c>
      <c r="Y100" s="12">
        <f t="shared" si="57"/>
        <v>1</v>
      </c>
      <c r="Z100" s="12">
        <f t="shared" si="58"/>
        <v>1</v>
      </c>
      <c r="AA100" s="12">
        <f t="shared" si="59"/>
        <v>1</v>
      </c>
      <c r="AB100" s="12">
        <f t="shared" si="60"/>
        <v>1</v>
      </c>
      <c r="AC100" s="12">
        <f t="shared" si="61"/>
        <v>1</v>
      </c>
      <c r="AD100" s="12">
        <f t="shared" si="80"/>
        <v>1</v>
      </c>
      <c r="AE100" s="12">
        <f t="shared" si="81"/>
        <v>1</v>
      </c>
      <c r="AF100" s="12">
        <f t="shared" si="82"/>
        <v>1</v>
      </c>
      <c r="AG100" s="12">
        <f t="shared" si="83"/>
        <v>1</v>
      </c>
      <c r="AH100" s="12">
        <f t="shared" si="84"/>
        <v>1</v>
      </c>
      <c r="AI100" s="12">
        <f t="shared" si="85"/>
        <v>1</v>
      </c>
      <c r="AJ100" s="12">
        <f t="shared" si="86"/>
        <v>1</v>
      </c>
      <c r="AK100" s="12">
        <f t="shared" si="87"/>
        <v>1</v>
      </c>
      <c r="AL100" s="12">
        <f t="shared" si="88"/>
        <v>1</v>
      </c>
      <c r="AM100" s="12">
        <f t="shared" si="62"/>
        <v>1</v>
      </c>
      <c r="AN100" s="12">
        <f t="shared" si="63"/>
        <v>1</v>
      </c>
      <c r="AO100" s="12">
        <f t="shared" si="64"/>
        <v>1</v>
      </c>
      <c r="AP100" s="12">
        <f t="shared" si="65"/>
        <v>1</v>
      </c>
      <c r="AQ100" s="12">
        <f t="shared" si="66"/>
        <v>1</v>
      </c>
      <c r="AR100" s="12">
        <f t="shared" si="67"/>
        <v>1</v>
      </c>
      <c r="AS100" s="12" cm="1">
        <f t="array" ref="AS100">IF(AND(H100&lt;&gt;"",SUMPRODUCT(--ISNUMBER(FIND({0;1;2;3;4;5;6;7;8;9},H100)))=0),1,0)</f>
        <v>1</v>
      </c>
      <c r="AT100" s="12" cm="1">
        <f t="array" ref="AT100">IF(AND(I100&lt;&gt;"",SUMPRODUCT(--ISNUMBER(FIND({0;1;2;3;4;5;6;7;8;9},I100)))=0),1,0)</f>
        <v>1</v>
      </c>
      <c r="AU100" s="12" cm="1">
        <f t="array" ref="AU100">IF(AND(J100&lt;&gt;"",SUMPRODUCT(--ISNUMBER(FIND({0;1;2;3;4;5;6;7;8;9},J100)))=0),1,0)</f>
        <v>1</v>
      </c>
      <c r="AV100" s="12">
        <f t="shared" si="89"/>
        <v>1</v>
      </c>
      <c r="AW100" s="12">
        <f t="shared" ca="1" si="68"/>
        <v>1</v>
      </c>
      <c r="AX100" s="12">
        <f t="shared" si="69"/>
        <v>1</v>
      </c>
      <c r="AY100" s="12">
        <f t="shared" si="70"/>
        <v>1</v>
      </c>
      <c r="AZ100" s="12">
        <f t="shared" si="71"/>
        <v>1</v>
      </c>
      <c r="BA100" s="12">
        <f t="shared" si="72"/>
        <v>1</v>
      </c>
      <c r="BB100" s="12">
        <f t="shared" si="73"/>
        <v>1</v>
      </c>
      <c r="BC100" s="12">
        <f t="shared" ca="1" si="74"/>
        <v>1</v>
      </c>
      <c r="BD100" s="12">
        <f t="shared" si="75"/>
        <v>1</v>
      </c>
      <c r="BE100" s="12">
        <f t="shared" si="76"/>
        <v>1</v>
      </c>
      <c r="BF100" s="12">
        <f t="shared" si="77"/>
        <v>1</v>
      </c>
      <c r="BG100" s="12">
        <f t="shared" ca="1" si="78"/>
        <v>1</v>
      </c>
    </row>
    <row r="101" spans="1:59" ht="15.75" customHeight="1" x14ac:dyDescent="0.2">
      <c r="A101" s="19">
        <f t="shared" si="52"/>
        <v>1</v>
      </c>
      <c r="B101" s="20">
        <f t="shared" si="53"/>
        <v>1</v>
      </c>
      <c r="C101" s="20">
        <f t="shared" ca="1" si="54"/>
        <v>1</v>
      </c>
      <c r="D101" s="50">
        <f t="shared" ca="1" si="79"/>
        <v>0</v>
      </c>
      <c r="E101" s="11" t="s">
        <v>497</v>
      </c>
      <c r="F101" s="11" t="s">
        <v>160</v>
      </c>
      <c r="G101" s="11">
        <v>1000000100</v>
      </c>
      <c r="H101" s="11" t="s">
        <v>281</v>
      </c>
      <c r="I101" s="11" t="s">
        <v>139</v>
      </c>
      <c r="J101" s="11" t="s">
        <v>221</v>
      </c>
      <c r="K101" s="11" t="s">
        <v>185</v>
      </c>
      <c r="L101" s="70">
        <v>24551</v>
      </c>
      <c r="M101" s="11" t="s">
        <v>498</v>
      </c>
      <c r="N101" s="11">
        <v>3461859528</v>
      </c>
      <c r="O101" s="11" t="s">
        <v>499</v>
      </c>
      <c r="P101" s="11" t="s">
        <v>248</v>
      </c>
      <c r="Q101" s="11" t="s">
        <v>249</v>
      </c>
      <c r="R101" s="68">
        <v>44642</v>
      </c>
      <c r="S101" s="11" t="s">
        <v>157</v>
      </c>
      <c r="T101" s="11" t="s">
        <v>166</v>
      </c>
      <c r="U101" s="11">
        <v>85000</v>
      </c>
      <c r="V101" s="68">
        <v>44747</v>
      </c>
      <c r="W101" s="12">
        <f t="shared" si="55"/>
        <v>1</v>
      </c>
      <c r="X101" s="12">
        <f t="shared" si="56"/>
        <v>1</v>
      </c>
      <c r="Y101" s="12">
        <f t="shared" si="57"/>
        <v>1</v>
      </c>
      <c r="Z101" s="12">
        <f t="shared" si="58"/>
        <v>1</v>
      </c>
      <c r="AA101" s="12">
        <f t="shared" si="59"/>
        <v>1</v>
      </c>
      <c r="AB101" s="12">
        <f t="shared" si="60"/>
        <v>1</v>
      </c>
      <c r="AC101" s="12">
        <f t="shared" si="61"/>
        <v>1</v>
      </c>
      <c r="AD101" s="12">
        <f t="shared" si="80"/>
        <v>1</v>
      </c>
      <c r="AE101" s="12">
        <f t="shared" si="81"/>
        <v>1</v>
      </c>
      <c r="AF101" s="12">
        <f t="shared" si="82"/>
        <v>1</v>
      </c>
      <c r="AG101" s="12">
        <f t="shared" si="83"/>
        <v>1</v>
      </c>
      <c r="AH101" s="12">
        <f t="shared" si="84"/>
        <v>1</v>
      </c>
      <c r="AI101" s="12">
        <f t="shared" si="85"/>
        <v>1</v>
      </c>
      <c r="AJ101" s="12">
        <f t="shared" si="86"/>
        <v>1</v>
      </c>
      <c r="AK101" s="12">
        <f t="shared" si="87"/>
        <v>1</v>
      </c>
      <c r="AL101" s="12">
        <f t="shared" si="88"/>
        <v>1</v>
      </c>
      <c r="AM101" s="12">
        <f t="shared" si="62"/>
        <v>1</v>
      </c>
      <c r="AN101" s="12">
        <f t="shared" si="63"/>
        <v>1</v>
      </c>
      <c r="AO101" s="12">
        <f t="shared" si="64"/>
        <v>1</v>
      </c>
      <c r="AP101" s="12">
        <f t="shared" si="65"/>
        <v>1</v>
      </c>
      <c r="AQ101" s="12">
        <f t="shared" si="66"/>
        <v>1</v>
      </c>
      <c r="AR101" s="12">
        <f t="shared" si="67"/>
        <v>1</v>
      </c>
      <c r="AS101" s="12" cm="1">
        <f t="array" ref="AS101">IF(AND(H101&lt;&gt;"",SUMPRODUCT(--ISNUMBER(FIND({0;1;2;3;4;5;6;7;8;9},H101)))=0),1,0)</f>
        <v>1</v>
      </c>
      <c r="AT101" s="12" cm="1">
        <f t="array" ref="AT101">IF(AND(I101&lt;&gt;"",SUMPRODUCT(--ISNUMBER(FIND({0;1;2;3;4;5;6;7;8;9},I101)))=0),1,0)</f>
        <v>1</v>
      </c>
      <c r="AU101" s="12" cm="1">
        <f t="array" ref="AU101">IF(AND(J101&lt;&gt;"",SUMPRODUCT(--ISNUMBER(FIND({0;1;2;3;4;5;6;7;8;9},J101)))=0),1,0)</f>
        <v>1</v>
      </c>
      <c r="AV101" s="12">
        <f t="shared" si="89"/>
        <v>1</v>
      </c>
      <c r="AW101" s="12">
        <f t="shared" ca="1" si="68"/>
        <v>1</v>
      </c>
      <c r="AX101" s="12">
        <f t="shared" si="69"/>
        <v>1</v>
      </c>
      <c r="AY101" s="12">
        <f t="shared" si="70"/>
        <v>1</v>
      </c>
      <c r="AZ101" s="12">
        <f t="shared" si="71"/>
        <v>1</v>
      </c>
      <c r="BA101" s="12">
        <f t="shared" si="72"/>
        <v>1</v>
      </c>
      <c r="BB101" s="12">
        <f t="shared" si="73"/>
        <v>1</v>
      </c>
      <c r="BC101" s="12">
        <f t="shared" ca="1" si="74"/>
        <v>1</v>
      </c>
      <c r="BD101" s="12">
        <f t="shared" si="75"/>
        <v>1</v>
      </c>
      <c r="BE101" s="12">
        <f t="shared" si="76"/>
        <v>1</v>
      </c>
      <c r="BF101" s="12">
        <f t="shared" si="77"/>
        <v>1</v>
      </c>
      <c r="BG101" s="12">
        <f t="shared" ca="1" si="78"/>
        <v>1</v>
      </c>
    </row>
    <row r="102" spans="1:59" ht="15.75" customHeight="1" x14ac:dyDescent="0.2">
      <c r="A102" s="19">
        <f t="shared" si="52"/>
        <v>1</v>
      </c>
      <c r="B102" s="20">
        <f t="shared" si="53"/>
        <v>1</v>
      </c>
      <c r="C102" s="20">
        <f t="shared" ca="1" si="54"/>
        <v>1</v>
      </c>
      <c r="D102" s="50">
        <f t="shared" ca="1" si="79"/>
        <v>0</v>
      </c>
      <c r="E102" s="11" t="s">
        <v>500</v>
      </c>
      <c r="F102" s="11" t="s">
        <v>137</v>
      </c>
      <c r="G102" s="11">
        <v>1000000101</v>
      </c>
      <c r="H102" s="11" t="s">
        <v>211</v>
      </c>
      <c r="I102" s="11" t="s">
        <v>140</v>
      </c>
      <c r="J102" s="11" t="s">
        <v>195</v>
      </c>
      <c r="K102" s="11" t="s">
        <v>141</v>
      </c>
      <c r="L102" s="70">
        <v>31311</v>
      </c>
      <c r="M102" s="11" t="s">
        <v>501</v>
      </c>
      <c r="N102" s="11">
        <v>3643062452</v>
      </c>
      <c r="O102" s="11" t="s">
        <v>502</v>
      </c>
      <c r="P102" s="11" t="s">
        <v>224</v>
      </c>
      <c r="Q102" s="11" t="s">
        <v>225</v>
      </c>
      <c r="R102" s="68">
        <v>45853</v>
      </c>
      <c r="S102" s="11" t="s">
        <v>157</v>
      </c>
      <c r="T102" s="11" t="s">
        <v>158</v>
      </c>
      <c r="U102" s="11">
        <v>95000</v>
      </c>
      <c r="V102" s="68">
        <v>46036</v>
      </c>
      <c r="W102" s="12">
        <f t="shared" si="55"/>
        <v>1</v>
      </c>
      <c r="X102" s="12">
        <f t="shared" si="56"/>
        <v>1</v>
      </c>
      <c r="Y102" s="12">
        <f t="shared" si="57"/>
        <v>1</v>
      </c>
      <c r="Z102" s="12">
        <f t="shared" si="58"/>
        <v>1</v>
      </c>
      <c r="AA102" s="12">
        <f t="shared" si="59"/>
        <v>1</v>
      </c>
      <c r="AB102" s="12">
        <f t="shared" si="60"/>
        <v>1</v>
      </c>
      <c r="AC102" s="12">
        <f t="shared" si="61"/>
        <v>1</v>
      </c>
      <c r="AD102" s="12">
        <f t="shared" si="80"/>
        <v>1</v>
      </c>
      <c r="AE102" s="12">
        <f t="shared" si="81"/>
        <v>1</v>
      </c>
      <c r="AF102" s="12">
        <f t="shared" si="82"/>
        <v>1</v>
      </c>
      <c r="AG102" s="12">
        <f t="shared" si="83"/>
        <v>1</v>
      </c>
      <c r="AH102" s="12">
        <f t="shared" si="84"/>
        <v>1</v>
      </c>
      <c r="AI102" s="12">
        <f t="shared" si="85"/>
        <v>1</v>
      </c>
      <c r="AJ102" s="12">
        <f t="shared" si="86"/>
        <v>1</v>
      </c>
      <c r="AK102" s="12">
        <f t="shared" si="87"/>
        <v>1</v>
      </c>
      <c r="AL102" s="12">
        <f t="shared" si="88"/>
        <v>1</v>
      </c>
      <c r="AM102" s="12">
        <f t="shared" si="62"/>
        <v>1</v>
      </c>
      <c r="AN102" s="12">
        <f t="shared" si="63"/>
        <v>1</v>
      </c>
      <c r="AO102" s="12">
        <f t="shared" si="64"/>
        <v>1</v>
      </c>
      <c r="AP102" s="12">
        <f t="shared" si="65"/>
        <v>1</v>
      </c>
      <c r="AQ102" s="12">
        <f t="shared" si="66"/>
        <v>1</v>
      </c>
      <c r="AR102" s="12">
        <f t="shared" si="67"/>
        <v>1</v>
      </c>
      <c r="AS102" s="12" cm="1">
        <f t="array" ref="AS102">IF(AND(H102&lt;&gt;"",SUMPRODUCT(--ISNUMBER(FIND({0;1;2;3;4;5;6;7;8;9},H102)))=0),1,0)</f>
        <v>1</v>
      </c>
      <c r="AT102" s="12" cm="1">
        <f t="array" ref="AT102">IF(AND(I102&lt;&gt;"",SUMPRODUCT(--ISNUMBER(FIND({0;1;2;3;4;5;6;7;8;9},I102)))=0),1,0)</f>
        <v>1</v>
      </c>
      <c r="AU102" s="12" cm="1">
        <f t="array" ref="AU102">IF(AND(J102&lt;&gt;"",SUMPRODUCT(--ISNUMBER(FIND({0;1;2;3;4;5;6;7;8;9},J102)))=0),1,0)</f>
        <v>1</v>
      </c>
      <c r="AV102" s="12">
        <f t="shared" si="89"/>
        <v>1</v>
      </c>
      <c r="AW102" s="12">
        <f t="shared" ca="1" si="68"/>
        <v>1</v>
      </c>
      <c r="AX102" s="12">
        <f t="shared" si="69"/>
        <v>1</v>
      </c>
      <c r="AY102" s="12">
        <f t="shared" si="70"/>
        <v>1</v>
      </c>
      <c r="AZ102" s="12">
        <f t="shared" si="71"/>
        <v>1</v>
      </c>
      <c r="BA102" s="12">
        <f t="shared" si="72"/>
        <v>1</v>
      </c>
      <c r="BB102" s="12">
        <f t="shared" si="73"/>
        <v>1</v>
      </c>
      <c r="BC102" s="12">
        <f t="shared" ca="1" si="74"/>
        <v>1</v>
      </c>
      <c r="BD102" s="12">
        <f t="shared" si="75"/>
        <v>1</v>
      </c>
      <c r="BE102" s="12">
        <f t="shared" si="76"/>
        <v>1</v>
      </c>
      <c r="BF102" s="12">
        <f t="shared" si="77"/>
        <v>1</v>
      </c>
      <c r="BG102" s="12">
        <f t="shared" ca="1" si="78"/>
        <v>1</v>
      </c>
    </row>
    <row r="103" spans="1:59" ht="15.75" customHeight="1" x14ac:dyDescent="0.2">
      <c r="A103" s="19">
        <f t="shared" si="52"/>
        <v>1</v>
      </c>
      <c r="B103" s="20">
        <f t="shared" si="53"/>
        <v>1</v>
      </c>
      <c r="C103" s="20">
        <f t="shared" ca="1" si="54"/>
        <v>0</v>
      </c>
      <c r="D103" s="50">
        <f t="shared" ca="1" si="79"/>
        <v>1</v>
      </c>
      <c r="E103" s="11" t="s">
        <v>503</v>
      </c>
      <c r="F103" s="11" t="s">
        <v>137</v>
      </c>
      <c r="G103" s="11">
        <v>1000000102</v>
      </c>
      <c r="H103" s="11" t="s">
        <v>193</v>
      </c>
      <c r="I103" s="11" t="s">
        <v>212</v>
      </c>
      <c r="J103" s="11" t="s">
        <v>151</v>
      </c>
      <c r="K103" s="11" t="s">
        <v>185</v>
      </c>
      <c r="L103" s="70">
        <v>37793</v>
      </c>
      <c r="M103" s="11" t="s">
        <v>504</v>
      </c>
      <c r="N103" s="11">
        <v>3951858984</v>
      </c>
      <c r="O103" s="11" t="s">
        <v>505</v>
      </c>
      <c r="P103" s="11" t="s">
        <v>224</v>
      </c>
      <c r="Q103" s="11" t="s">
        <v>225</v>
      </c>
      <c r="R103" s="68">
        <v>45999</v>
      </c>
      <c r="S103" s="11" t="s">
        <v>157</v>
      </c>
      <c r="T103" s="11" t="s">
        <v>147</v>
      </c>
      <c r="U103" s="11">
        <v>95000</v>
      </c>
      <c r="V103" s="68">
        <v>46212</v>
      </c>
      <c r="W103" s="12">
        <f t="shared" si="55"/>
        <v>1</v>
      </c>
      <c r="X103" s="12">
        <f t="shared" si="56"/>
        <v>1</v>
      </c>
      <c r="Y103" s="12">
        <f t="shared" si="57"/>
        <v>1</v>
      </c>
      <c r="Z103" s="12">
        <f t="shared" si="58"/>
        <v>1</v>
      </c>
      <c r="AA103" s="12">
        <f t="shared" si="59"/>
        <v>1</v>
      </c>
      <c r="AB103" s="12">
        <f t="shared" si="60"/>
        <v>1</v>
      </c>
      <c r="AC103" s="12">
        <f t="shared" si="61"/>
        <v>1</v>
      </c>
      <c r="AD103" s="12">
        <f t="shared" si="80"/>
        <v>1</v>
      </c>
      <c r="AE103" s="12">
        <f t="shared" si="81"/>
        <v>1</v>
      </c>
      <c r="AF103" s="12">
        <f t="shared" si="82"/>
        <v>1</v>
      </c>
      <c r="AG103" s="12">
        <f t="shared" si="83"/>
        <v>1</v>
      </c>
      <c r="AH103" s="12">
        <f t="shared" si="84"/>
        <v>1</v>
      </c>
      <c r="AI103" s="12">
        <f t="shared" si="85"/>
        <v>1</v>
      </c>
      <c r="AJ103" s="12">
        <f t="shared" si="86"/>
        <v>1</v>
      </c>
      <c r="AK103" s="12">
        <f t="shared" si="87"/>
        <v>1</v>
      </c>
      <c r="AL103" s="12">
        <f t="shared" si="88"/>
        <v>1</v>
      </c>
      <c r="AM103" s="12">
        <f t="shared" si="62"/>
        <v>1</v>
      </c>
      <c r="AN103" s="12">
        <f t="shared" si="63"/>
        <v>1</v>
      </c>
      <c r="AO103" s="12">
        <f t="shared" si="64"/>
        <v>1</v>
      </c>
      <c r="AP103" s="12">
        <f t="shared" si="65"/>
        <v>1</v>
      </c>
      <c r="AQ103" s="12">
        <f t="shared" si="66"/>
        <v>1</v>
      </c>
      <c r="AR103" s="12">
        <f t="shared" si="67"/>
        <v>1</v>
      </c>
      <c r="AS103" s="12" cm="1">
        <f t="array" ref="AS103">IF(AND(H103&lt;&gt;"",SUMPRODUCT(--ISNUMBER(FIND({0;1;2;3;4;5;6;7;8;9},H103)))=0),1,0)</f>
        <v>1</v>
      </c>
      <c r="AT103" s="12" cm="1">
        <f t="array" ref="AT103">IF(AND(I103&lt;&gt;"",SUMPRODUCT(--ISNUMBER(FIND({0;1;2;3;4;5;6;7;8;9},I103)))=0),1,0)</f>
        <v>1</v>
      </c>
      <c r="AU103" s="12" cm="1">
        <f t="array" ref="AU103">IF(AND(J103&lt;&gt;"",SUMPRODUCT(--ISNUMBER(FIND({0;1;2;3;4;5;6;7;8;9},J103)))=0),1,0)</f>
        <v>1</v>
      </c>
      <c r="AV103" s="12">
        <f t="shared" si="89"/>
        <v>1</v>
      </c>
      <c r="AW103" s="12">
        <f t="shared" ca="1" si="68"/>
        <v>1</v>
      </c>
      <c r="AX103" s="12">
        <f t="shared" si="69"/>
        <v>1</v>
      </c>
      <c r="AY103" s="12">
        <f t="shared" si="70"/>
        <v>1</v>
      </c>
      <c r="AZ103" s="12">
        <f t="shared" si="71"/>
        <v>1</v>
      </c>
      <c r="BA103" s="12">
        <f t="shared" si="72"/>
        <v>1</v>
      </c>
      <c r="BB103" s="12">
        <f t="shared" si="73"/>
        <v>1</v>
      </c>
      <c r="BC103" s="12">
        <f t="shared" ca="1" si="74"/>
        <v>1</v>
      </c>
      <c r="BD103" s="12">
        <f t="shared" si="75"/>
        <v>1</v>
      </c>
      <c r="BE103" s="12">
        <f t="shared" si="76"/>
        <v>1</v>
      </c>
      <c r="BF103" s="12">
        <f t="shared" si="77"/>
        <v>1</v>
      </c>
      <c r="BG103" s="12">
        <f t="shared" ca="1" si="78"/>
        <v>0</v>
      </c>
    </row>
    <row r="104" spans="1:59" ht="15.75" customHeight="1" x14ac:dyDescent="0.2">
      <c r="A104" s="19">
        <f t="shared" si="52"/>
        <v>1</v>
      </c>
      <c r="B104" s="20">
        <f t="shared" si="53"/>
        <v>1</v>
      </c>
      <c r="C104" s="20">
        <f t="shared" ca="1" si="54"/>
        <v>1</v>
      </c>
      <c r="D104" s="50">
        <f t="shared" ca="1" si="79"/>
        <v>0</v>
      </c>
      <c r="E104" s="11" t="s">
        <v>506</v>
      </c>
      <c r="F104" s="11" t="s">
        <v>137</v>
      </c>
      <c r="G104" s="11">
        <v>1000000103</v>
      </c>
      <c r="H104" s="11" t="s">
        <v>321</v>
      </c>
      <c r="I104" s="11" t="s">
        <v>227</v>
      </c>
      <c r="J104" s="11" t="s">
        <v>139</v>
      </c>
      <c r="K104" s="11" t="s">
        <v>185</v>
      </c>
      <c r="L104" s="70">
        <v>37248</v>
      </c>
      <c r="M104" s="11" t="s">
        <v>507</v>
      </c>
      <c r="N104" s="11">
        <v>3251466570</v>
      </c>
      <c r="O104" s="11" t="s">
        <v>508</v>
      </c>
      <c r="P104" s="11" t="s">
        <v>179</v>
      </c>
      <c r="Q104" s="11" t="s">
        <v>180</v>
      </c>
      <c r="R104" s="68">
        <v>45077</v>
      </c>
      <c r="S104" s="11" t="s">
        <v>157</v>
      </c>
      <c r="T104" s="11" t="s">
        <v>147</v>
      </c>
      <c r="U104" s="11">
        <v>85000</v>
      </c>
      <c r="V104" s="68">
        <v>45297</v>
      </c>
      <c r="W104" s="12">
        <f t="shared" si="55"/>
        <v>1</v>
      </c>
      <c r="X104" s="12">
        <f t="shared" si="56"/>
        <v>1</v>
      </c>
      <c r="Y104" s="12">
        <f t="shared" si="57"/>
        <v>1</v>
      </c>
      <c r="Z104" s="12">
        <f t="shared" si="58"/>
        <v>1</v>
      </c>
      <c r="AA104" s="12">
        <f t="shared" si="59"/>
        <v>1</v>
      </c>
      <c r="AB104" s="12">
        <f t="shared" si="60"/>
        <v>1</v>
      </c>
      <c r="AC104" s="12">
        <f t="shared" si="61"/>
        <v>1</v>
      </c>
      <c r="AD104" s="12">
        <f t="shared" si="80"/>
        <v>1</v>
      </c>
      <c r="AE104" s="12">
        <f t="shared" si="81"/>
        <v>1</v>
      </c>
      <c r="AF104" s="12">
        <f t="shared" si="82"/>
        <v>1</v>
      </c>
      <c r="AG104" s="12">
        <f t="shared" si="83"/>
        <v>1</v>
      </c>
      <c r="AH104" s="12">
        <f t="shared" si="84"/>
        <v>1</v>
      </c>
      <c r="AI104" s="12">
        <f t="shared" si="85"/>
        <v>1</v>
      </c>
      <c r="AJ104" s="12">
        <f t="shared" si="86"/>
        <v>1</v>
      </c>
      <c r="AK104" s="12">
        <f t="shared" si="87"/>
        <v>1</v>
      </c>
      <c r="AL104" s="12">
        <f t="shared" si="88"/>
        <v>1</v>
      </c>
      <c r="AM104" s="12">
        <f t="shared" si="62"/>
        <v>1</v>
      </c>
      <c r="AN104" s="12">
        <f t="shared" si="63"/>
        <v>1</v>
      </c>
      <c r="AO104" s="12">
        <f t="shared" si="64"/>
        <v>1</v>
      </c>
      <c r="AP104" s="12">
        <f t="shared" si="65"/>
        <v>1</v>
      </c>
      <c r="AQ104" s="12">
        <f t="shared" si="66"/>
        <v>1</v>
      </c>
      <c r="AR104" s="12">
        <f t="shared" si="67"/>
        <v>1</v>
      </c>
      <c r="AS104" s="12" cm="1">
        <f t="array" ref="AS104">IF(AND(H104&lt;&gt;"",SUMPRODUCT(--ISNUMBER(FIND({0;1;2;3;4;5;6;7;8;9},H104)))=0),1,0)</f>
        <v>1</v>
      </c>
      <c r="AT104" s="12" cm="1">
        <f t="array" ref="AT104">IF(AND(I104&lt;&gt;"",SUMPRODUCT(--ISNUMBER(FIND({0;1;2;3;4;5;6;7;8;9},I104)))=0),1,0)</f>
        <v>1</v>
      </c>
      <c r="AU104" s="12" cm="1">
        <f t="array" ref="AU104">IF(AND(J104&lt;&gt;"",SUMPRODUCT(--ISNUMBER(FIND({0;1;2;3;4;5;6;7;8;9},J104)))=0),1,0)</f>
        <v>1</v>
      </c>
      <c r="AV104" s="12">
        <f t="shared" si="89"/>
        <v>1</v>
      </c>
      <c r="AW104" s="12">
        <f t="shared" ca="1" si="68"/>
        <v>1</v>
      </c>
      <c r="AX104" s="12">
        <f t="shared" si="69"/>
        <v>1</v>
      </c>
      <c r="AY104" s="12">
        <f t="shared" si="70"/>
        <v>1</v>
      </c>
      <c r="AZ104" s="12">
        <f t="shared" si="71"/>
        <v>1</v>
      </c>
      <c r="BA104" s="12">
        <f t="shared" si="72"/>
        <v>1</v>
      </c>
      <c r="BB104" s="12">
        <f t="shared" si="73"/>
        <v>1</v>
      </c>
      <c r="BC104" s="12">
        <f t="shared" ca="1" si="74"/>
        <v>1</v>
      </c>
      <c r="BD104" s="12">
        <f t="shared" si="75"/>
        <v>1</v>
      </c>
      <c r="BE104" s="12">
        <f t="shared" si="76"/>
        <v>1</v>
      </c>
      <c r="BF104" s="12">
        <f t="shared" si="77"/>
        <v>1</v>
      </c>
      <c r="BG104" s="12">
        <f t="shared" ca="1" si="78"/>
        <v>1</v>
      </c>
    </row>
    <row r="105" spans="1:59" ht="15.75" customHeight="1" x14ac:dyDescent="0.2">
      <c r="A105" s="19">
        <f t="shared" si="52"/>
        <v>1</v>
      </c>
      <c r="B105" s="20">
        <f t="shared" si="53"/>
        <v>1</v>
      </c>
      <c r="C105" s="20">
        <f t="shared" ca="1" si="54"/>
        <v>1</v>
      </c>
      <c r="D105" s="50">
        <f t="shared" ca="1" si="79"/>
        <v>0</v>
      </c>
      <c r="E105" s="11" t="s">
        <v>509</v>
      </c>
      <c r="F105" s="11" t="s">
        <v>160</v>
      </c>
      <c r="G105" s="11">
        <v>1000000104</v>
      </c>
      <c r="H105" s="11" t="s">
        <v>281</v>
      </c>
      <c r="I105" s="11" t="s">
        <v>256</v>
      </c>
      <c r="J105" s="11" t="s">
        <v>256</v>
      </c>
      <c r="K105" s="11" t="s">
        <v>185</v>
      </c>
      <c r="L105" s="70">
        <v>36633</v>
      </c>
      <c r="M105" s="11" t="s">
        <v>510</v>
      </c>
      <c r="N105" s="11">
        <v>3981783382</v>
      </c>
      <c r="O105" s="11" t="s">
        <v>511</v>
      </c>
      <c r="P105" s="11" t="s">
        <v>144</v>
      </c>
      <c r="Q105" s="11" t="s">
        <v>145</v>
      </c>
      <c r="R105" s="68">
        <v>45270</v>
      </c>
      <c r="S105" s="11" t="s">
        <v>174</v>
      </c>
      <c r="T105" s="11" t="s">
        <v>166</v>
      </c>
      <c r="U105" s="11">
        <v>85000</v>
      </c>
      <c r="V105" s="68">
        <v>45479</v>
      </c>
      <c r="W105" s="12">
        <f t="shared" si="55"/>
        <v>1</v>
      </c>
      <c r="X105" s="12">
        <f t="shared" si="56"/>
        <v>1</v>
      </c>
      <c r="Y105" s="12">
        <f t="shared" si="57"/>
        <v>1</v>
      </c>
      <c r="Z105" s="12">
        <f t="shared" si="58"/>
        <v>1</v>
      </c>
      <c r="AA105" s="12">
        <f t="shared" si="59"/>
        <v>1</v>
      </c>
      <c r="AB105" s="12">
        <f t="shared" si="60"/>
        <v>1</v>
      </c>
      <c r="AC105" s="12">
        <f t="shared" si="61"/>
        <v>1</v>
      </c>
      <c r="AD105" s="12">
        <f t="shared" si="80"/>
        <v>1</v>
      </c>
      <c r="AE105" s="12">
        <f t="shared" si="81"/>
        <v>1</v>
      </c>
      <c r="AF105" s="12">
        <f t="shared" si="82"/>
        <v>1</v>
      </c>
      <c r="AG105" s="12">
        <f t="shared" si="83"/>
        <v>1</v>
      </c>
      <c r="AH105" s="12">
        <f t="shared" si="84"/>
        <v>1</v>
      </c>
      <c r="AI105" s="12">
        <f t="shared" si="85"/>
        <v>1</v>
      </c>
      <c r="AJ105" s="12">
        <f t="shared" si="86"/>
        <v>1</v>
      </c>
      <c r="AK105" s="12">
        <f t="shared" si="87"/>
        <v>1</v>
      </c>
      <c r="AL105" s="12">
        <f t="shared" si="88"/>
        <v>1</v>
      </c>
      <c r="AM105" s="12">
        <f t="shared" si="62"/>
        <v>1</v>
      </c>
      <c r="AN105" s="12">
        <f t="shared" si="63"/>
        <v>1</v>
      </c>
      <c r="AO105" s="12">
        <f t="shared" si="64"/>
        <v>1</v>
      </c>
      <c r="AP105" s="12">
        <f t="shared" si="65"/>
        <v>1</v>
      </c>
      <c r="AQ105" s="12">
        <f t="shared" si="66"/>
        <v>1</v>
      </c>
      <c r="AR105" s="12">
        <f t="shared" si="67"/>
        <v>1</v>
      </c>
      <c r="AS105" s="12" cm="1">
        <f t="array" ref="AS105">IF(AND(H105&lt;&gt;"",SUMPRODUCT(--ISNUMBER(FIND({0;1;2;3;4;5;6;7;8;9},H105)))=0),1,0)</f>
        <v>1</v>
      </c>
      <c r="AT105" s="12" cm="1">
        <f t="array" ref="AT105">IF(AND(I105&lt;&gt;"",SUMPRODUCT(--ISNUMBER(FIND({0;1;2;3;4;5;6;7;8;9},I105)))=0),1,0)</f>
        <v>1</v>
      </c>
      <c r="AU105" s="12" cm="1">
        <f t="array" ref="AU105">IF(AND(J105&lt;&gt;"",SUMPRODUCT(--ISNUMBER(FIND({0;1;2;3;4;5;6;7;8;9},J105)))=0),1,0)</f>
        <v>1</v>
      </c>
      <c r="AV105" s="12">
        <f t="shared" si="89"/>
        <v>1</v>
      </c>
      <c r="AW105" s="12">
        <f t="shared" ca="1" si="68"/>
        <v>1</v>
      </c>
      <c r="AX105" s="12">
        <f t="shared" si="69"/>
        <v>1</v>
      </c>
      <c r="AY105" s="12">
        <f t="shared" si="70"/>
        <v>1</v>
      </c>
      <c r="AZ105" s="12">
        <f t="shared" si="71"/>
        <v>1</v>
      </c>
      <c r="BA105" s="12">
        <f t="shared" si="72"/>
        <v>1</v>
      </c>
      <c r="BB105" s="12">
        <f t="shared" si="73"/>
        <v>1</v>
      </c>
      <c r="BC105" s="12">
        <f t="shared" ca="1" si="74"/>
        <v>1</v>
      </c>
      <c r="BD105" s="12">
        <f t="shared" si="75"/>
        <v>1</v>
      </c>
      <c r="BE105" s="12">
        <f t="shared" si="76"/>
        <v>1</v>
      </c>
      <c r="BF105" s="12">
        <f t="shared" si="77"/>
        <v>1</v>
      </c>
      <c r="BG105" s="12">
        <f t="shared" ca="1" si="78"/>
        <v>1</v>
      </c>
    </row>
    <row r="106" spans="1:59" ht="15.75" customHeight="1" x14ac:dyDescent="0.2">
      <c r="A106" s="19">
        <f t="shared" si="52"/>
        <v>1</v>
      </c>
      <c r="B106" s="20">
        <f t="shared" si="53"/>
        <v>1</v>
      </c>
      <c r="C106" s="20">
        <f t="shared" ca="1" si="54"/>
        <v>1</v>
      </c>
      <c r="D106" s="50">
        <f t="shared" ca="1" si="79"/>
        <v>0</v>
      </c>
      <c r="E106" s="11" t="s">
        <v>512</v>
      </c>
      <c r="F106" s="11" t="s">
        <v>149</v>
      </c>
      <c r="G106" s="11">
        <v>1000000105</v>
      </c>
      <c r="H106" s="11" t="s">
        <v>386</v>
      </c>
      <c r="I106" s="11" t="s">
        <v>256</v>
      </c>
      <c r="J106" s="11" t="s">
        <v>256</v>
      </c>
      <c r="K106" s="11" t="s">
        <v>141</v>
      </c>
      <c r="L106" s="70">
        <v>34663</v>
      </c>
      <c r="M106" s="11" t="s">
        <v>513</v>
      </c>
      <c r="N106" s="11">
        <v>3536906404</v>
      </c>
      <c r="O106" s="11" t="s">
        <v>514</v>
      </c>
      <c r="P106" s="11" t="s">
        <v>144</v>
      </c>
      <c r="Q106" s="11" t="s">
        <v>145</v>
      </c>
      <c r="R106" s="68">
        <v>44656</v>
      </c>
      <c r="S106" s="11" t="s">
        <v>174</v>
      </c>
      <c r="T106" s="11" t="s">
        <v>158</v>
      </c>
      <c r="U106" s="11">
        <v>85000</v>
      </c>
      <c r="V106" s="68">
        <v>44917</v>
      </c>
      <c r="W106" s="12">
        <f t="shared" si="55"/>
        <v>1</v>
      </c>
      <c r="X106" s="12">
        <f t="shared" si="56"/>
        <v>1</v>
      </c>
      <c r="Y106" s="12">
        <f t="shared" si="57"/>
        <v>1</v>
      </c>
      <c r="Z106" s="12">
        <f t="shared" si="58"/>
        <v>1</v>
      </c>
      <c r="AA106" s="12">
        <f t="shared" si="59"/>
        <v>1</v>
      </c>
      <c r="AB106" s="12">
        <f t="shared" si="60"/>
        <v>1</v>
      </c>
      <c r="AC106" s="12">
        <f t="shared" si="61"/>
        <v>1</v>
      </c>
      <c r="AD106" s="12">
        <f t="shared" si="80"/>
        <v>1</v>
      </c>
      <c r="AE106" s="12">
        <f t="shared" si="81"/>
        <v>1</v>
      </c>
      <c r="AF106" s="12">
        <f t="shared" si="82"/>
        <v>1</v>
      </c>
      <c r="AG106" s="12">
        <f t="shared" si="83"/>
        <v>1</v>
      </c>
      <c r="AH106" s="12">
        <f t="shared" si="84"/>
        <v>1</v>
      </c>
      <c r="AI106" s="12">
        <f t="shared" si="85"/>
        <v>1</v>
      </c>
      <c r="AJ106" s="12">
        <f t="shared" si="86"/>
        <v>1</v>
      </c>
      <c r="AK106" s="12">
        <f t="shared" si="87"/>
        <v>1</v>
      </c>
      <c r="AL106" s="12">
        <f t="shared" si="88"/>
        <v>1</v>
      </c>
      <c r="AM106" s="12">
        <f t="shared" si="62"/>
        <v>1</v>
      </c>
      <c r="AN106" s="12">
        <f t="shared" si="63"/>
        <v>1</v>
      </c>
      <c r="AO106" s="12">
        <f t="shared" si="64"/>
        <v>1</v>
      </c>
      <c r="AP106" s="12">
        <f t="shared" si="65"/>
        <v>1</v>
      </c>
      <c r="AQ106" s="12">
        <f t="shared" si="66"/>
        <v>1</v>
      </c>
      <c r="AR106" s="12">
        <f t="shared" si="67"/>
        <v>1</v>
      </c>
      <c r="AS106" s="12" cm="1">
        <f t="array" ref="AS106">IF(AND(H106&lt;&gt;"",SUMPRODUCT(--ISNUMBER(FIND({0;1;2;3;4;5;6;7;8;9},H106)))=0),1,0)</f>
        <v>1</v>
      </c>
      <c r="AT106" s="12" cm="1">
        <f t="array" ref="AT106">IF(AND(I106&lt;&gt;"",SUMPRODUCT(--ISNUMBER(FIND({0;1;2;3;4;5;6;7;8;9},I106)))=0),1,0)</f>
        <v>1</v>
      </c>
      <c r="AU106" s="12" cm="1">
        <f t="array" ref="AU106">IF(AND(J106&lt;&gt;"",SUMPRODUCT(--ISNUMBER(FIND({0;1;2;3;4;5;6;7;8;9},J106)))=0),1,0)</f>
        <v>1</v>
      </c>
      <c r="AV106" s="12">
        <f t="shared" si="89"/>
        <v>1</v>
      </c>
      <c r="AW106" s="12">
        <f t="shared" ca="1" si="68"/>
        <v>1</v>
      </c>
      <c r="AX106" s="12">
        <f t="shared" si="69"/>
        <v>1</v>
      </c>
      <c r="AY106" s="12">
        <f t="shared" si="70"/>
        <v>1</v>
      </c>
      <c r="AZ106" s="12">
        <f t="shared" si="71"/>
        <v>1</v>
      </c>
      <c r="BA106" s="12">
        <f t="shared" si="72"/>
        <v>1</v>
      </c>
      <c r="BB106" s="12">
        <f t="shared" si="73"/>
        <v>1</v>
      </c>
      <c r="BC106" s="12">
        <f t="shared" ca="1" si="74"/>
        <v>1</v>
      </c>
      <c r="BD106" s="12">
        <f t="shared" si="75"/>
        <v>1</v>
      </c>
      <c r="BE106" s="12">
        <f t="shared" si="76"/>
        <v>1</v>
      </c>
      <c r="BF106" s="12">
        <f t="shared" si="77"/>
        <v>1</v>
      </c>
      <c r="BG106" s="12">
        <f t="shared" ca="1" si="78"/>
        <v>1</v>
      </c>
    </row>
    <row r="107" spans="1:59" ht="15.75" customHeight="1" x14ac:dyDescent="0.2">
      <c r="A107" s="19">
        <f t="shared" si="52"/>
        <v>1</v>
      </c>
      <c r="B107" s="20">
        <f t="shared" si="53"/>
        <v>1</v>
      </c>
      <c r="C107" s="20">
        <f t="shared" ca="1" si="54"/>
        <v>1</v>
      </c>
      <c r="D107" s="50">
        <f t="shared" ca="1" si="79"/>
        <v>0</v>
      </c>
      <c r="E107" s="11" t="s">
        <v>515</v>
      </c>
      <c r="F107" s="11" t="s">
        <v>160</v>
      </c>
      <c r="G107" s="11">
        <v>1000000106</v>
      </c>
      <c r="H107" s="11" t="s">
        <v>138</v>
      </c>
      <c r="I107" s="11" t="s">
        <v>235</v>
      </c>
      <c r="J107" s="11" t="s">
        <v>194</v>
      </c>
      <c r="K107" s="11" t="s">
        <v>141</v>
      </c>
      <c r="L107" s="70">
        <v>33202</v>
      </c>
      <c r="M107" s="11" t="s">
        <v>516</v>
      </c>
      <c r="N107" s="11">
        <v>3416751172</v>
      </c>
      <c r="O107" s="11" t="s">
        <v>517</v>
      </c>
      <c r="P107" s="11" t="s">
        <v>179</v>
      </c>
      <c r="Q107" s="11" t="s">
        <v>180</v>
      </c>
      <c r="R107" s="68">
        <v>44658</v>
      </c>
      <c r="S107" s="11" t="s">
        <v>146</v>
      </c>
      <c r="T107" s="11" t="s">
        <v>166</v>
      </c>
      <c r="U107" s="11">
        <v>75000</v>
      </c>
      <c r="V107" s="68">
        <v>44785</v>
      </c>
      <c r="W107" s="12">
        <f t="shared" si="55"/>
        <v>1</v>
      </c>
      <c r="X107" s="12">
        <f t="shared" si="56"/>
        <v>1</v>
      </c>
      <c r="Y107" s="12">
        <f t="shared" si="57"/>
        <v>1</v>
      </c>
      <c r="Z107" s="12">
        <f t="shared" si="58"/>
        <v>1</v>
      </c>
      <c r="AA107" s="12">
        <f t="shared" si="59"/>
        <v>1</v>
      </c>
      <c r="AB107" s="12">
        <f t="shared" si="60"/>
        <v>1</v>
      </c>
      <c r="AC107" s="12">
        <f t="shared" si="61"/>
        <v>1</v>
      </c>
      <c r="AD107" s="12">
        <f t="shared" si="80"/>
        <v>1</v>
      </c>
      <c r="AE107" s="12">
        <f t="shared" si="81"/>
        <v>1</v>
      </c>
      <c r="AF107" s="12">
        <f t="shared" si="82"/>
        <v>1</v>
      </c>
      <c r="AG107" s="12">
        <f t="shared" si="83"/>
        <v>1</v>
      </c>
      <c r="AH107" s="12">
        <f t="shared" si="84"/>
        <v>1</v>
      </c>
      <c r="AI107" s="12">
        <f t="shared" si="85"/>
        <v>1</v>
      </c>
      <c r="AJ107" s="12">
        <f t="shared" si="86"/>
        <v>1</v>
      </c>
      <c r="AK107" s="12">
        <f t="shared" si="87"/>
        <v>1</v>
      </c>
      <c r="AL107" s="12">
        <f t="shared" si="88"/>
        <v>1</v>
      </c>
      <c r="AM107" s="12">
        <f t="shared" si="62"/>
        <v>1</v>
      </c>
      <c r="AN107" s="12">
        <f t="shared" si="63"/>
        <v>1</v>
      </c>
      <c r="AO107" s="12">
        <f t="shared" si="64"/>
        <v>1</v>
      </c>
      <c r="AP107" s="12">
        <f t="shared" si="65"/>
        <v>1</v>
      </c>
      <c r="AQ107" s="12">
        <f t="shared" si="66"/>
        <v>1</v>
      </c>
      <c r="AR107" s="12">
        <f t="shared" si="67"/>
        <v>1</v>
      </c>
      <c r="AS107" s="12" cm="1">
        <f t="array" ref="AS107">IF(AND(H107&lt;&gt;"",SUMPRODUCT(--ISNUMBER(FIND({0;1;2;3;4;5;6;7;8;9},H107)))=0),1,0)</f>
        <v>1</v>
      </c>
      <c r="AT107" s="12" cm="1">
        <f t="array" ref="AT107">IF(AND(I107&lt;&gt;"",SUMPRODUCT(--ISNUMBER(FIND({0;1;2;3;4;5;6;7;8;9},I107)))=0),1,0)</f>
        <v>1</v>
      </c>
      <c r="AU107" s="12" cm="1">
        <f t="array" ref="AU107">IF(AND(J107&lt;&gt;"",SUMPRODUCT(--ISNUMBER(FIND({0;1;2;3;4;5;6;7;8;9},J107)))=0),1,0)</f>
        <v>1</v>
      </c>
      <c r="AV107" s="12">
        <f t="shared" si="89"/>
        <v>1</v>
      </c>
      <c r="AW107" s="12">
        <f t="shared" ca="1" si="68"/>
        <v>1</v>
      </c>
      <c r="AX107" s="12">
        <f t="shared" si="69"/>
        <v>1</v>
      </c>
      <c r="AY107" s="12">
        <f t="shared" si="70"/>
        <v>1</v>
      </c>
      <c r="AZ107" s="12">
        <f t="shared" si="71"/>
        <v>1</v>
      </c>
      <c r="BA107" s="12">
        <f t="shared" si="72"/>
        <v>1</v>
      </c>
      <c r="BB107" s="12">
        <f t="shared" si="73"/>
        <v>1</v>
      </c>
      <c r="BC107" s="12">
        <f t="shared" ca="1" si="74"/>
        <v>1</v>
      </c>
      <c r="BD107" s="12">
        <f t="shared" si="75"/>
        <v>1</v>
      </c>
      <c r="BE107" s="12">
        <f t="shared" si="76"/>
        <v>1</v>
      </c>
      <c r="BF107" s="12">
        <f t="shared" si="77"/>
        <v>1</v>
      </c>
      <c r="BG107" s="12">
        <f t="shared" ca="1" si="78"/>
        <v>1</v>
      </c>
    </row>
    <row r="108" spans="1:59" ht="15.75" customHeight="1" x14ac:dyDescent="0.2">
      <c r="A108" s="19">
        <f t="shared" si="52"/>
        <v>1</v>
      </c>
      <c r="B108" s="20">
        <f t="shared" si="53"/>
        <v>1</v>
      </c>
      <c r="C108" s="20">
        <f t="shared" ca="1" si="54"/>
        <v>1</v>
      </c>
      <c r="D108" s="50">
        <f t="shared" ca="1" si="79"/>
        <v>0</v>
      </c>
      <c r="E108" s="11" t="s">
        <v>518</v>
      </c>
      <c r="F108" s="11" t="s">
        <v>160</v>
      </c>
      <c r="G108" s="11">
        <v>1000000107</v>
      </c>
      <c r="H108" s="11" t="s">
        <v>242</v>
      </c>
      <c r="I108" s="11" t="s">
        <v>227</v>
      </c>
      <c r="J108" s="11" t="s">
        <v>184</v>
      </c>
      <c r="K108" s="11" t="s">
        <v>185</v>
      </c>
      <c r="L108" s="70">
        <v>37932</v>
      </c>
      <c r="M108" s="11" t="s">
        <v>519</v>
      </c>
      <c r="N108" s="11">
        <v>3155391994</v>
      </c>
      <c r="O108" s="11" t="s">
        <v>520</v>
      </c>
      <c r="P108" s="11" t="s">
        <v>155</v>
      </c>
      <c r="Q108" s="11" t="s">
        <v>156</v>
      </c>
      <c r="R108" s="68">
        <v>46072</v>
      </c>
      <c r="S108" s="11" t="s">
        <v>157</v>
      </c>
      <c r="T108" s="11" t="s">
        <v>158</v>
      </c>
      <c r="U108" s="11">
        <v>90000</v>
      </c>
      <c r="V108" s="68">
        <v>46105</v>
      </c>
      <c r="W108" s="12">
        <f t="shared" si="55"/>
        <v>1</v>
      </c>
      <c r="X108" s="12">
        <f t="shared" si="56"/>
        <v>1</v>
      </c>
      <c r="Y108" s="12">
        <f t="shared" si="57"/>
        <v>1</v>
      </c>
      <c r="Z108" s="12">
        <f t="shared" si="58"/>
        <v>1</v>
      </c>
      <c r="AA108" s="12">
        <f t="shared" si="59"/>
        <v>1</v>
      </c>
      <c r="AB108" s="12">
        <f t="shared" si="60"/>
        <v>1</v>
      </c>
      <c r="AC108" s="12">
        <f t="shared" si="61"/>
        <v>1</v>
      </c>
      <c r="AD108" s="12">
        <f t="shared" si="80"/>
        <v>1</v>
      </c>
      <c r="AE108" s="12">
        <f t="shared" si="81"/>
        <v>1</v>
      </c>
      <c r="AF108" s="12">
        <f t="shared" si="82"/>
        <v>1</v>
      </c>
      <c r="AG108" s="12">
        <f t="shared" si="83"/>
        <v>1</v>
      </c>
      <c r="AH108" s="12">
        <f t="shared" si="84"/>
        <v>1</v>
      </c>
      <c r="AI108" s="12">
        <f t="shared" si="85"/>
        <v>1</v>
      </c>
      <c r="AJ108" s="12">
        <f t="shared" si="86"/>
        <v>1</v>
      </c>
      <c r="AK108" s="12">
        <f t="shared" si="87"/>
        <v>1</v>
      </c>
      <c r="AL108" s="12">
        <f t="shared" si="88"/>
        <v>1</v>
      </c>
      <c r="AM108" s="12">
        <f t="shared" si="62"/>
        <v>1</v>
      </c>
      <c r="AN108" s="12">
        <f t="shared" si="63"/>
        <v>1</v>
      </c>
      <c r="AO108" s="12">
        <f t="shared" si="64"/>
        <v>1</v>
      </c>
      <c r="AP108" s="12">
        <f t="shared" si="65"/>
        <v>1</v>
      </c>
      <c r="AQ108" s="12">
        <f t="shared" si="66"/>
        <v>1</v>
      </c>
      <c r="AR108" s="12">
        <f t="shared" si="67"/>
        <v>1</v>
      </c>
      <c r="AS108" s="12" cm="1">
        <f t="array" ref="AS108">IF(AND(H108&lt;&gt;"",SUMPRODUCT(--ISNUMBER(FIND({0;1;2;3;4;5;6;7;8;9},H108)))=0),1,0)</f>
        <v>1</v>
      </c>
      <c r="AT108" s="12" cm="1">
        <f t="array" ref="AT108">IF(AND(I108&lt;&gt;"",SUMPRODUCT(--ISNUMBER(FIND({0;1;2;3;4;5;6;7;8;9},I108)))=0),1,0)</f>
        <v>1</v>
      </c>
      <c r="AU108" s="12" cm="1">
        <f t="array" ref="AU108">IF(AND(J108&lt;&gt;"",SUMPRODUCT(--ISNUMBER(FIND({0;1;2;3;4;5;6;7;8;9},J108)))=0),1,0)</f>
        <v>1</v>
      </c>
      <c r="AV108" s="12">
        <f t="shared" si="89"/>
        <v>1</v>
      </c>
      <c r="AW108" s="12">
        <f t="shared" ca="1" si="68"/>
        <v>1</v>
      </c>
      <c r="AX108" s="12">
        <f t="shared" si="69"/>
        <v>1</v>
      </c>
      <c r="AY108" s="12">
        <f t="shared" si="70"/>
        <v>1</v>
      </c>
      <c r="AZ108" s="12">
        <f t="shared" si="71"/>
        <v>1</v>
      </c>
      <c r="BA108" s="12">
        <f t="shared" si="72"/>
        <v>1</v>
      </c>
      <c r="BB108" s="12">
        <f t="shared" si="73"/>
        <v>1</v>
      </c>
      <c r="BC108" s="12">
        <f t="shared" ca="1" si="74"/>
        <v>1</v>
      </c>
      <c r="BD108" s="12">
        <f t="shared" si="75"/>
        <v>1</v>
      </c>
      <c r="BE108" s="12">
        <f t="shared" si="76"/>
        <v>1</v>
      </c>
      <c r="BF108" s="12">
        <f t="shared" si="77"/>
        <v>1</v>
      </c>
      <c r="BG108" s="12">
        <f t="shared" ca="1" si="78"/>
        <v>1</v>
      </c>
    </row>
    <row r="109" spans="1:59" ht="15.75" customHeight="1" x14ac:dyDescent="0.2">
      <c r="A109" s="19">
        <f t="shared" si="52"/>
        <v>1</v>
      </c>
      <c r="B109" s="20">
        <f t="shared" si="53"/>
        <v>1</v>
      </c>
      <c r="C109" s="20">
        <f t="shared" ca="1" si="54"/>
        <v>1</v>
      </c>
      <c r="D109" s="50">
        <f t="shared" ca="1" si="79"/>
        <v>0</v>
      </c>
      <c r="E109" s="11" t="s">
        <v>521</v>
      </c>
      <c r="F109" s="11" t="s">
        <v>137</v>
      </c>
      <c r="G109" s="11">
        <v>1000000108</v>
      </c>
      <c r="H109" s="11" t="s">
        <v>150</v>
      </c>
      <c r="I109" s="11" t="s">
        <v>184</v>
      </c>
      <c r="J109" s="11" t="s">
        <v>140</v>
      </c>
      <c r="K109" s="11" t="s">
        <v>141</v>
      </c>
      <c r="L109" s="70">
        <v>26037</v>
      </c>
      <c r="M109" s="11" t="s">
        <v>522</v>
      </c>
      <c r="N109" s="11">
        <v>3846149187</v>
      </c>
      <c r="O109" s="11" t="s">
        <v>523</v>
      </c>
      <c r="P109" s="11" t="s">
        <v>179</v>
      </c>
      <c r="Q109" s="11" t="s">
        <v>180</v>
      </c>
      <c r="R109" s="68">
        <v>44673</v>
      </c>
      <c r="S109" s="11" t="s">
        <v>174</v>
      </c>
      <c r="T109" s="11" t="s">
        <v>158</v>
      </c>
      <c r="U109" s="11">
        <v>95000</v>
      </c>
      <c r="V109" s="68">
        <v>44700</v>
      </c>
      <c r="W109" s="12">
        <f t="shared" si="55"/>
        <v>1</v>
      </c>
      <c r="X109" s="12">
        <f t="shared" si="56"/>
        <v>1</v>
      </c>
      <c r="Y109" s="12">
        <f t="shared" si="57"/>
        <v>1</v>
      </c>
      <c r="Z109" s="12">
        <f t="shared" si="58"/>
        <v>1</v>
      </c>
      <c r="AA109" s="12">
        <f t="shared" si="59"/>
        <v>1</v>
      </c>
      <c r="AB109" s="12">
        <f t="shared" si="60"/>
        <v>1</v>
      </c>
      <c r="AC109" s="12">
        <f t="shared" si="61"/>
        <v>1</v>
      </c>
      <c r="AD109" s="12">
        <f t="shared" si="80"/>
        <v>1</v>
      </c>
      <c r="AE109" s="12">
        <f t="shared" si="81"/>
        <v>1</v>
      </c>
      <c r="AF109" s="12">
        <f t="shared" si="82"/>
        <v>1</v>
      </c>
      <c r="AG109" s="12">
        <f t="shared" si="83"/>
        <v>1</v>
      </c>
      <c r="AH109" s="12">
        <f t="shared" si="84"/>
        <v>1</v>
      </c>
      <c r="AI109" s="12">
        <f t="shared" si="85"/>
        <v>1</v>
      </c>
      <c r="AJ109" s="12">
        <f t="shared" si="86"/>
        <v>1</v>
      </c>
      <c r="AK109" s="12">
        <f t="shared" si="87"/>
        <v>1</v>
      </c>
      <c r="AL109" s="12">
        <f t="shared" si="88"/>
        <v>1</v>
      </c>
      <c r="AM109" s="12">
        <f t="shared" si="62"/>
        <v>1</v>
      </c>
      <c r="AN109" s="12">
        <f t="shared" si="63"/>
        <v>1</v>
      </c>
      <c r="AO109" s="12">
        <f t="shared" si="64"/>
        <v>1</v>
      </c>
      <c r="AP109" s="12">
        <f t="shared" si="65"/>
        <v>1</v>
      </c>
      <c r="AQ109" s="12">
        <f t="shared" si="66"/>
        <v>1</v>
      </c>
      <c r="AR109" s="12">
        <f t="shared" si="67"/>
        <v>1</v>
      </c>
      <c r="AS109" s="12" cm="1">
        <f t="array" ref="AS109">IF(AND(H109&lt;&gt;"",SUMPRODUCT(--ISNUMBER(FIND({0;1;2;3;4;5;6;7;8;9},H109)))=0),1,0)</f>
        <v>1</v>
      </c>
      <c r="AT109" s="12" cm="1">
        <f t="array" ref="AT109">IF(AND(I109&lt;&gt;"",SUMPRODUCT(--ISNUMBER(FIND({0;1;2;3;4;5;6;7;8;9},I109)))=0),1,0)</f>
        <v>1</v>
      </c>
      <c r="AU109" s="12" cm="1">
        <f t="array" ref="AU109">IF(AND(J109&lt;&gt;"",SUMPRODUCT(--ISNUMBER(FIND({0;1;2;3;4;5;6;7;8;9},J109)))=0),1,0)</f>
        <v>1</v>
      </c>
      <c r="AV109" s="12">
        <f t="shared" si="89"/>
        <v>1</v>
      </c>
      <c r="AW109" s="12">
        <f t="shared" ca="1" si="68"/>
        <v>1</v>
      </c>
      <c r="AX109" s="12">
        <f t="shared" si="69"/>
        <v>1</v>
      </c>
      <c r="AY109" s="12">
        <f t="shared" si="70"/>
        <v>1</v>
      </c>
      <c r="AZ109" s="12">
        <f t="shared" si="71"/>
        <v>1</v>
      </c>
      <c r="BA109" s="12">
        <f t="shared" si="72"/>
        <v>1</v>
      </c>
      <c r="BB109" s="12">
        <f t="shared" si="73"/>
        <v>1</v>
      </c>
      <c r="BC109" s="12">
        <f t="shared" ca="1" si="74"/>
        <v>1</v>
      </c>
      <c r="BD109" s="12">
        <f t="shared" si="75"/>
        <v>1</v>
      </c>
      <c r="BE109" s="12">
        <f t="shared" si="76"/>
        <v>1</v>
      </c>
      <c r="BF109" s="12">
        <f t="shared" si="77"/>
        <v>1</v>
      </c>
      <c r="BG109" s="12">
        <f t="shared" ca="1" si="78"/>
        <v>1</v>
      </c>
    </row>
    <row r="110" spans="1:59" ht="15.75" customHeight="1" x14ac:dyDescent="0.2">
      <c r="A110" s="19">
        <f t="shared" si="52"/>
        <v>1</v>
      </c>
      <c r="B110" s="20">
        <f t="shared" si="53"/>
        <v>1</v>
      </c>
      <c r="C110" s="20">
        <f t="shared" ca="1" si="54"/>
        <v>1</v>
      </c>
      <c r="D110" s="50">
        <f t="shared" ca="1" si="79"/>
        <v>0</v>
      </c>
      <c r="E110" s="11" t="s">
        <v>524</v>
      </c>
      <c r="F110" s="11" t="s">
        <v>160</v>
      </c>
      <c r="G110" s="11">
        <v>1000000109</v>
      </c>
      <c r="H110" s="11" t="s">
        <v>386</v>
      </c>
      <c r="I110" s="11" t="s">
        <v>169</v>
      </c>
      <c r="J110" s="11" t="s">
        <v>231</v>
      </c>
      <c r="K110" s="11" t="s">
        <v>141</v>
      </c>
      <c r="L110" s="70">
        <v>32742</v>
      </c>
      <c r="M110" s="11" t="s">
        <v>525</v>
      </c>
      <c r="N110" s="11">
        <v>3585970023</v>
      </c>
      <c r="O110" s="11" t="s">
        <v>526</v>
      </c>
      <c r="P110" s="11" t="s">
        <v>172</v>
      </c>
      <c r="Q110" s="11" t="s">
        <v>173</v>
      </c>
      <c r="R110" s="68">
        <v>44603</v>
      </c>
      <c r="S110" s="11" t="s">
        <v>157</v>
      </c>
      <c r="T110" s="11" t="s">
        <v>158</v>
      </c>
      <c r="U110" s="11">
        <v>75000</v>
      </c>
      <c r="V110" s="68">
        <v>44679</v>
      </c>
      <c r="W110" s="12">
        <f t="shared" si="55"/>
        <v>1</v>
      </c>
      <c r="X110" s="12">
        <f t="shared" si="56"/>
        <v>1</v>
      </c>
      <c r="Y110" s="12">
        <f t="shared" si="57"/>
        <v>1</v>
      </c>
      <c r="Z110" s="12">
        <f t="shared" si="58"/>
        <v>1</v>
      </c>
      <c r="AA110" s="12">
        <f t="shared" si="59"/>
        <v>1</v>
      </c>
      <c r="AB110" s="12">
        <f t="shared" si="60"/>
        <v>1</v>
      </c>
      <c r="AC110" s="12">
        <f t="shared" si="61"/>
        <v>1</v>
      </c>
      <c r="AD110" s="12">
        <f t="shared" si="80"/>
        <v>1</v>
      </c>
      <c r="AE110" s="12">
        <f t="shared" si="81"/>
        <v>1</v>
      </c>
      <c r="AF110" s="12">
        <f t="shared" si="82"/>
        <v>1</v>
      </c>
      <c r="AG110" s="12">
        <f t="shared" si="83"/>
        <v>1</v>
      </c>
      <c r="AH110" s="12">
        <f t="shared" si="84"/>
        <v>1</v>
      </c>
      <c r="AI110" s="12">
        <f t="shared" si="85"/>
        <v>1</v>
      </c>
      <c r="AJ110" s="12">
        <f t="shared" si="86"/>
        <v>1</v>
      </c>
      <c r="AK110" s="12">
        <f t="shared" si="87"/>
        <v>1</v>
      </c>
      <c r="AL110" s="12">
        <f t="shared" si="88"/>
        <v>1</v>
      </c>
      <c r="AM110" s="12">
        <f t="shared" si="62"/>
        <v>1</v>
      </c>
      <c r="AN110" s="12">
        <f t="shared" si="63"/>
        <v>1</v>
      </c>
      <c r="AO110" s="12">
        <f t="shared" si="64"/>
        <v>1</v>
      </c>
      <c r="AP110" s="12">
        <f t="shared" si="65"/>
        <v>1</v>
      </c>
      <c r="AQ110" s="12">
        <f t="shared" si="66"/>
        <v>1</v>
      </c>
      <c r="AR110" s="12">
        <f t="shared" si="67"/>
        <v>1</v>
      </c>
      <c r="AS110" s="12" cm="1">
        <f t="array" ref="AS110">IF(AND(H110&lt;&gt;"",SUMPRODUCT(--ISNUMBER(FIND({0;1;2;3;4;5;6;7;8;9},H110)))=0),1,0)</f>
        <v>1</v>
      </c>
      <c r="AT110" s="12" cm="1">
        <f t="array" ref="AT110">IF(AND(I110&lt;&gt;"",SUMPRODUCT(--ISNUMBER(FIND({0;1;2;3;4;5;6;7;8;9},I110)))=0),1,0)</f>
        <v>1</v>
      </c>
      <c r="AU110" s="12" cm="1">
        <f t="array" ref="AU110">IF(AND(J110&lt;&gt;"",SUMPRODUCT(--ISNUMBER(FIND({0;1;2;3;4;5;6;7;8;9},J110)))=0),1,0)</f>
        <v>1</v>
      </c>
      <c r="AV110" s="12">
        <f t="shared" si="89"/>
        <v>1</v>
      </c>
      <c r="AW110" s="12">
        <f t="shared" ca="1" si="68"/>
        <v>1</v>
      </c>
      <c r="AX110" s="12">
        <f t="shared" si="69"/>
        <v>1</v>
      </c>
      <c r="AY110" s="12">
        <f t="shared" si="70"/>
        <v>1</v>
      </c>
      <c r="AZ110" s="12">
        <f t="shared" si="71"/>
        <v>1</v>
      </c>
      <c r="BA110" s="12">
        <f t="shared" si="72"/>
        <v>1</v>
      </c>
      <c r="BB110" s="12">
        <f t="shared" si="73"/>
        <v>1</v>
      </c>
      <c r="BC110" s="12">
        <f t="shared" ca="1" si="74"/>
        <v>1</v>
      </c>
      <c r="BD110" s="12">
        <f t="shared" si="75"/>
        <v>1</v>
      </c>
      <c r="BE110" s="12">
        <f t="shared" si="76"/>
        <v>1</v>
      </c>
      <c r="BF110" s="12">
        <f t="shared" si="77"/>
        <v>1</v>
      </c>
      <c r="BG110" s="12">
        <f t="shared" ca="1" si="78"/>
        <v>1</v>
      </c>
    </row>
    <row r="111" spans="1:59" ht="15.75" customHeight="1" x14ac:dyDescent="0.2">
      <c r="A111" s="19">
        <f t="shared" si="52"/>
        <v>1</v>
      </c>
      <c r="B111" s="20">
        <f t="shared" si="53"/>
        <v>1</v>
      </c>
      <c r="C111" s="20">
        <f t="shared" ca="1" si="54"/>
        <v>1</v>
      </c>
      <c r="D111" s="50">
        <f t="shared" ca="1" si="79"/>
        <v>0</v>
      </c>
      <c r="E111" s="11" t="s">
        <v>527</v>
      </c>
      <c r="F111" s="11" t="s">
        <v>137</v>
      </c>
      <c r="G111" s="11">
        <v>1000000110</v>
      </c>
      <c r="H111" s="11" t="s">
        <v>161</v>
      </c>
      <c r="I111" s="11" t="s">
        <v>140</v>
      </c>
      <c r="J111" s="11" t="s">
        <v>235</v>
      </c>
      <c r="K111" s="11" t="s">
        <v>141</v>
      </c>
      <c r="L111" s="70">
        <v>24719</v>
      </c>
      <c r="M111" s="11" t="s">
        <v>528</v>
      </c>
      <c r="N111" s="11">
        <v>3506105262</v>
      </c>
      <c r="O111" s="11" t="s">
        <v>529</v>
      </c>
      <c r="P111" s="11" t="s">
        <v>224</v>
      </c>
      <c r="Q111" s="11" t="s">
        <v>225</v>
      </c>
      <c r="R111" s="68">
        <v>44895</v>
      </c>
      <c r="S111" s="11" t="s">
        <v>157</v>
      </c>
      <c r="T111" s="11" t="s">
        <v>158</v>
      </c>
      <c r="U111" s="11">
        <v>85000</v>
      </c>
      <c r="V111" s="68">
        <v>45031</v>
      </c>
      <c r="W111" s="12">
        <f t="shared" si="55"/>
        <v>1</v>
      </c>
      <c r="X111" s="12">
        <f t="shared" si="56"/>
        <v>1</v>
      </c>
      <c r="Y111" s="12">
        <f t="shared" si="57"/>
        <v>1</v>
      </c>
      <c r="Z111" s="12">
        <f t="shared" si="58"/>
        <v>1</v>
      </c>
      <c r="AA111" s="12">
        <f t="shared" si="59"/>
        <v>1</v>
      </c>
      <c r="AB111" s="12">
        <f t="shared" si="60"/>
        <v>1</v>
      </c>
      <c r="AC111" s="12">
        <f t="shared" si="61"/>
        <v>1</v>
      </c>
      <c r="AD111" s="12">
        <f t="shared" si="80"/>
        <v>1</v>
      </c>
      <c r="AE111" s="12">
        <f t="shared" si="81"/>
        <v>1</v>
      </c>
      <c r="AF111" s="12">
        <f t="shared" si="82"/>
        <v>1</v>
      </c>
      <c r="AG111" s="12">
        <f t="shared" si="83"/>
        <v>1</v>
      </c>
      <c r="AH111" s="12">
        <f t="shared" si="84"/>
        <v>1</v>
      </c>
      <c r="AI111" s="12">
        <f t="shared" si="85"/>
        <v>1</v>
      </c>
      <c r="AJ111" s="12">
        <f t="shared" si="86"/>
        <v>1</v>
      </c>
      <c r="AK111" s="12">
        <f t="shared" si="87"/>
        <v>1</v>
      </c>
      <c r="AL111" s="12">
        <f t="shared" si="88"/>
        <v>1</v>
      </c>
      <c r="AM111" s="12">
        <f t="shared" si="62"/>
        <v>1</v>
      </c>
      <c r="AN111" s="12">
        <f t="shared" si="63"/>
        <v>1</v>
      </c>
      <c r="AO111" s="12">
        <f t="shared" si="64"/>
        <v>1</v>
      </c>
      <c r="AP111" s="12">
        <f t="shared" si="65"/>
        <v>1</v>
      </c>
      <c r="AQ111" s="12">
        <f t="shared" si="66"/>
        <v>1</v>
      </c>
      <c r="AR111" s="12">
        <f t="shared" si="67"/>
        <v>1</v>
      </c>
      <c r="AS111" s="12" cm="1">
        <f t="array" ref="AS111">IF(AND(H111&lt;&gt;"",SUMPRODUCT(--ISNUMBER(FIND({0;1;2;3;4;5;6;7;8;9},H111)))=0),1,0)</f>
        <v>1</v>
      </c>
      <c r="AT111" s="12" cm="1">
        <f t="array" ref="AT111">IF(AND(I111&lt;&gt;"",SUMPRODUCT(--ISNUMBER(FIND({0;1;2;3;4;5;6;7;8;9},I111)))=0),1,0)</f>
        <v>1</v>
      </c>
      <c r="AU111" s="12" cm="1">
        <f t="array" ref="AU111">IF(AND(J111&lt;&gt;"",SUMPRODUCT(--ISNUMBER(FIND({0;1;2;3;4;5;6;7;8;9},J111)))=0),1,0)</f>
        <v>1</v>
      </c>
      <c r="AV111" s="12">
        <f t="shared" si="89"/>
        <v>1</v>
      </c>
      <c r="AW111" s="12">
        <f t="shared" ca="1" si="68"/>
        <v>1</v>
      </c>
      <c r="AX111" s="12">
        <f t="shared" si="69"/>
        <v>1</v>
      </c>
      <c r="AY111" s="12">
        <f t="shared" si="70"/>
        <v>1</v>
      </c>
      <c r="AZ111" s="12">
        <f t="shared" si="71"/>
        <v>1</v>
      </c>
      <c r="BA111" s="12">
        <f t="shared" si="72"/>
        <v>1</v>
      </c>
      <c r="BB111" s="12">
        <f t="shared" si="73"/>
        <v>1</v>
      </c>
      <c r="BC111" s="12">
        <f t="shared" ca="1" si="74"/>
        <v>1</v>
      </c>
      <c r="BD111" s="12">
        <f t="shared" si="75"/>
        <v>1</v>
      </c>
      <c r="BE111" s="12">
        <f t="shared" si="76"/>
        <v>1</v>
      </c>
      <c r="BF111" s="12">
        <f t="shared" si="77"/>
        <v>1</v>
      </c>
      <c r="BG111" s="12">
        <f t="shared" ca="1" si="78"/>
        <v>1</v>
      </c>
    </row>
    <row r="112" spans="1:59" ht="15.75" customHeight="1" x14ac:dyDescent="0.2">
      <c r="A112" s="19">
        <f t="shared" si="52"/>
        <v>1</v>
      </c>
      <c r="B112" s="20">
        <f t="shared" si="53"/>
        <v>1</v>
      </c>
      <c r="C112" s="20">
        <f t="shared" ca="1" si="54"/>
        <v>1</v>
      </c>
      <c r="D112" s="50">
        <f t="shared" ca="1" si="79"/>
        <v>0</v>
      </c>
      <c r="E112" s="11" t="s">
        <v>530</v>
      </c>
      <c r="F112" s="11" t="s">
        <v>149</v>
      </c>
      <c r="G112" s="11">
        <v>1000000111</v>
      </c>
      <c r="H112" s="11" t="s">
        <v>199</v>
      </c>
      <c r="I112" s="11" t="s">
        <v>260</v>
      </c>
      <c r="J112" s="11" t="s">
        <v>151</v>
      </c>
      <c r="K112" s="11" t="s">
        <v>185</v>
      </c>
      <c r="L112" s="70">
        <v>36937</v>
      </c>
      <c r="M112" s="11" t="s">
        <v>531</v>
      </c>
      <c r="N112" s="11">
        <v>3492996980</v>
      </c>
      <c r="O112" s="11" t="s">
        <v>532</v>
      </c>
      <c r="P112" s="11" t="s">
        <v>217</v>
      </c>
      <c r="Q112" s="11" t="s">
        <v>218</v>
      </c>
      <c r="R112" s="68">
        <v>45785</v>
      </c>
      <c r="S112" s="11" t="s">
        <v>157</v>
      </c>
      <c r="T112" s="11" t="s">
        <v>158</v>
      </c>
      <c r="U112" s="11">
        <v>95000</v>
      </c>
      <c r="V112" s="68">
        <v>45947</v>
      </c>
      <c r="W112" s="12">
        <f t="shared" si="55"/>
        <v>1</v>
      </c>
      <c r="X112" s="12">
        <f t="shared" si="56"/>
        <v>1</v>
      </c>
      <c r="Y112" s="12">
        <f t="shared" si="57"/>
        <v>1</v>
      </c>
      <c r="Z112" s="12">
        <f t="shared" si="58"/>
        <v>1</v>
      </c>
      <c r="AA112" s="12">
        <f t="shared" si="59"/>
        <v>1</v>
      </c>
      <c r="AB112" s="12">
        <f t="shared" si="60"/>
        <v>1</v>
      </c>
      <c r="AC112" s="12">
        <f t="shared" si="61"/>
        <v>1</v>
      </c>
      <c r="AD112" s="12">
        <f t="shared" si="80"/>
        <v>1</v>
      </c>
      <c r="AE112" s="12">
        <f t="shared" si="81"/>
        <v>1</v>
      </c>
      <c r="AF112" s="12">
        <f t="shared" si="82"/>
        <v>1</v>
      </c>
      <c r="AG112" s="12">
        <f t="shared" si="83"/>
        <v>1</v>
      </c>
      <c r="AH112" s="12">
        <f t="shared" si="84"/>
        <v>1</v>
      </c>
      <c r="AI112" s="12">
        <f t="shared" si="85"/>
        <v>1</v>
      </c>
      <c r="AJ112" s="12">
        <f t="shared" si="86"/>
        <v>1</v>
      </c>
      <c r="AK112" s="12">
        <f t="shared" si="87"/>
        <v>1</v>
      </c>
      <c r="AL112" s="12">
        <f t="shared" si="88"/>
        <v>1</v>
      </c>
      <c r="AM112" s="12">
        <f t="shared" si="62"/>
        <v>1</v>
      </c>
      <c r="AN112" s="12">
        <f t="shared" si="63"/>
        <v>1</v>
      </c>
      <c r="AO112" s="12">
        <f t="shared" si="64"/>
        <v>1</v>
      </c>
      <c r="AP112" s="12">
        <f t="shared" si="65"/>
        <v>1</v>
      </c>
      <c r="AQ112" s="12">
        <f t="shared" si="66"/>
        <v>1</v>
      </c>
      <c r="AR112" s="12">
        <f t="shared" si="67"/>
        <v>1</v>
      </c>
      <c r="AS112" s="12" cm="1">
        <f t="array" ref="AS112">IF(AND(H112&lt;&gt;"",SUMPRODUCT(--ISNUMBER(FIND({0;1;2;3;4;5;6;7;8;9},H112)))=0),1,0)</f>
        <v>1</v>
      </c>
      <c r="AT112" s="12" cm="1">
        <f t="array" ref="AT112">IF(AND(I112&lt;&gt;"",SUMPRODUCT(--ISNUMBER(FIND({0;1;2;3;4;5;6;7;8;9},I112)))=0),1,0)</f>
        <v>1</v>
      </c>
      <c r="AU112" s="12" cm="1">
        <f t="array" ref="AU112">IF(AND(J112&lt;&gt;"",SUMPRODUCT(--ISNUMBER(FIND({0;1;2;3;4;5;6;7;8;9},J112)))=0),1,0)</f>
        <v>1</v>
      </c>
      <c r="AV112" s="12">
        <f t="shared" si="89"/>
        <v>1</v>
      </c>
      <c r="AW112" s="12">
        <f t="shared" ca="1" si="68"/>
        <v>1</v>
      </c>
      <c r="AX112" s="12">
        <f t="shared" si="69"/>
        <v>1</v>
      </c>
      <c r="AY112" s="12">
        <f t="shared" si="70"/>
        <v>1</v>
      </c>
      <c r="AZ112" s="12">
        <f t="shared" si="71"/>
        <v>1</v>
      </c>
      <c r="BA112" s="12">
        <f t="shared" si="72"/>
        <v>1</v>
      </c>
      <c r="BB112" s="12">
        <f t="shared" si="73"/>
        <v>1</v>
      </c>
      <c r="BC112" s="12">
        <f t="shared" ca="1" si="74"/>
        <v>1</v>
      </c>
      <c r="BD112" s="12">
        <f t="shared" si="75"/>
        <v>1</v>
      </c>
      <c r="BE112" s="12">
        <f t="shared" si="76"/>
        <v>1</v>
      </c>
      <c r="BF112" s="12">
        <f t="shared" si="77"/>
        <v>1</v>
      </c>
      <c r="BG112" s="12">
        <f t="shared" ca="1" si="78"/>
        <v>1</v>
      </c>
    </row>
    <row r="113" spans="1:59" ht="15.75" customHeight="1" x14ac:dyDescent="0.2">
      <c r="A113" s="19">
        <f t="shared" si="52"/>
        <v>1</v>
      </c>
      <c r="B113" s="20">
        <f t="shared" si="53"/>
        <v>1</v>
      </c>
      <c r="C113" s="20">
        <f t="shared" ca="1" si="54"/>
        <v>1</v>
      </c>
      <c r="D113" s="50">
        <f t="shared" ca="1" si="79"/>
        <v>0</v>
      </c>
      <c r="E113" s="11" t="s">
        <v>533</v>
      </c>
      <c r="F113" s="11" t="s">
        <v>137</v>
      </c>
      <c r="G113" s="11">
        <v>1000000112</v>
      </c>
      <c r="H113" s="11" t="s">
        <v>274</v>
      </c>
      <c r="I113" s="11" t="s">
        <v>260</v>
      </c>
      <c r="J113" s="11" t="s">
        <v>169</v>
      </c>
      <c r="K113" s="11" t="s">
        <v>141</v>
      </c>
      <c r="L113" s="70">
        <v>28774</v>
      </c>
      <c r="M113" s="11" t="s">
        <v>534</v>
      </c>
      <c r="N113" s="11">
        <v>3358434609</v>
      </c>
      <c r="O113" s="11" t="s">
        <v>535</v>
      </c>
      <c r="P113" s="11" t="s">
        <v>179</v>
      </c>
      <c r="Q113" s="11" t="s">
        <v>180</v>
      </c>
      <c r="R113" s="68">
        <v>45726</v>
      </c>
      <c r="S113" s="11" t="s">
        <v>157</v>
      </c>
      <c r="T113" s="11" t="s">
        <v>166</v>
      </c>
      <c r="U113" s="11">
        <v>95000</v>
      </c>
      <c r="V113" s="68">
        <v>46015</v>
      </c>
      <c r="W113" s="12">
        <f t="shared" si="55"/>
        <v>1</v>
      </c>
      <c r="X113" s="12">
        <f t="shared" si="56"/>
        <v>1</v>
      </c>
      <c r="Y113" s="12">
        <f t="shared" si="57"/>
        <v>1</v>
      </c>
      <c r="Z113" s="12">
        <f t="shared" si="58"/>
        <v>1</v>
      </c>
      <c r="AA113" s="12">
        <f t="shared" si="59"/>
        <v>1</v>
      </c>
      <c r="AB113" s="12">
        <f t="shared" si="60"/>
        <v>1</v>
      </c>
      <c r="AC113" s="12">
        <f t="shared" si="61"/>
        <v>1</v>
      </c>
      <c r="AD113" s="12">
        <f t="shared" si="80"/>
        <v>1</v>
      </c>
      <c r="AE113" s="12">
        <f t="shared" si="81"/>
        <v>1</v>
      </c>
      <c r="AF113" s="12">
        <f t="shared" si="82"/>
        <v>1</v>
      </c>
      <c r="AG113" s="12">
        <f t="shared" si="83"/>
        <v>1</v>
      </c>
      <c r="AH113" s="12">
        <f t="shared" si="84"/>
        <v>1</v>
      </c>
      <c r="AI113" s="12">
        <f t="shared" si="85"/>
        <v>1</v>
      </c>
      <c r="AJ113" s="12">
        <f t="shared" si="86"/>
        <v>1</v>
      </c>
      <c r="AK113" s="12">
        <f t="shared" si="87"/>
        <v>1</v>
      </c>
      <c r="AL113" s="12">
        <f t="shared" si="88"/>
        <v>1</v>
      </c>
      <c r="AM113" s="12">
        <f t="shared" si="62"/>
        <v>1</v>
      </c>
      <c r="AN113" s="12">
        <f t="shared" si="63"/>
        <v>1</v>
      </c>
      <c r="AO113" s="12">
        <f t="shared" si="64"/>
        <v>1</v>
      </c>
      <c r="AP113" s="12">
        <f t="shared" si="65"/>
        <v>1</v>
      </c>
      <c r="AQ113" s="12">
        <f t="shared" si="66"/>
        <v>1</v>
      </c>
      <c r="AR113" s="12">
        <f t="shared" si="67"/>
        <v>1</v>
      </c>
      <c r="AS113" s="12" cm="1">
        <f t="array" ref="AS113">IF(AND(H113&lt;&gt;"",SUMPRODUCT(--ISNUMBER(FIND({0;1;2;3;4;5;6;7;8;9},H113)))=0),1,0)</f>
        <v>1</v>
      </c>
      <c r="AT113" s="12" cm="1">
        <f t="array" ref="AT113">IF(AND(I113&lt;&gt;"",SUMPRODUCT(--ISNUMBER(FIND({0;1;2;3;4;5;6;7;8;9},I113)))=0),1,0)</f>
        <v>1</v>
      </c>
      <c r="AU113" s="12" cm="1">
        <f t="array" ref="AU113">IF(AND(J113&lt;&gt;"",SUMPRODUCT(--ISNUMBER(FIND({0;1;2;3;4;5;6;7;8;9},J113)))=0),1,0)</f>
        <v>1</v>
      </c>
      <c r="AV113" s="12">
        <f t="shared" si="89"/>
        <v>1</v>
      </c>
      <c r="AW113" s="12">
        <f t="shared" ca="1" si="68"/>
        <v>1</v>
      </c>
      <c r="AX113" s="12">
        <f t="shared" si="69"/>
        <v>1</v>
      </c>
      <c r="AY113" s="12">
        <f t="shared" si="70"/>
        <v>1</v>
      </c>
      <c r="AZ113" s="12">
        <f t="shared" si="71"/>
        <v>1</v>
      </c>
      <c r="BA113" s="12">
        <f t="shared" si="72"/>
        <v>1</v>
      </c>
      <c r="BB113" s="12">
        <f t="shared" si="73"/>
        <v>1</v>
      </c>
      <c r="BC113" s="12">
        <f t="shared" ca="1" si="74"/>
        <v>1</v>
      </c>
      <c r="BD113" s="12">
        <f t="shared" si="75"/>
        <v>1</v>
      </c>
      <c r="BE113" s="12">
        <f t="shared" si="76"/>
        <v>1</v>
      </c>
      <c r="BF113" s="12">
        <f t="shared" si="77"/>
        <v>1</v>
      </c>
      <c r="BG113" s="12">
        <f t="shared" ca="1" si="78"/>
        <v>1</v>
      </c>
    </row>
    <row r="114" spans="1:59" ht="15.75" customHeight="1" x14ac:dyDescent="0.2">
      <c r="A114" s="19">
        <f t="shared" si="52"/>
        <v>1</v>
      </c>
      <c r="B114" s="20">
        <f t="shared" si="53"/>
        <v>1</v>
      </c>
      <c r="C114" s="20">
        <f t="shared" ca="1" si="54"/>
        <v>1</v>
      </c>
      <c r="D114" s="50">
        <f t="shared" ca="1" si="79"/>
        <v>0</v>
      </c>
      <c r="E114" s="11" t="s">
        <v>536</v>
      </c>
      <c r="F114" s="11" t="s">
        <v>149</v>
      </c>
      <c r="G114" s="11">
        <v>1000000113</v>
      </c>
      <c r="H114" s="11" t="s">
        <v>182</v>
      </c>
      <c r="I114" s="11" t="s">
        <v>162</v>
      </c>
      <c r="J114" s="11" t="s">
        <v>212</v>
      </c>
      <c r="K114" s="11" t="s">
        <v>185</v>
      </c>
      <c r="L114" s="70">
        <v>30595</v>
      </c>
      <c r="M114" s="11" t="s">
        <v>537</v>
      </c>
      <c r="N114" s="11">
        <v>3157411667</v>
      </c>
      <c r="O114" s="11" t="s">
        <v>538</v>
      </c>
      <c r="P114" s="11" t="s">
        <v>224</v>
      </c>
      <c r="Q114" s="11" t="s">
        <v>225</v>
      </c>
      <c r="R114" s="68">
        <v>44981</v>
      </c>
      <c r="S114" s="11" t="s">
        <v>174</v>
      </c>
      <c r="T114" s="11" t="s">
        <v>158</v>
      </c>
      <c r="U114" s="11">
        <v>90000</v>
      </c>
      <c r="V114" s="68">
        <v>45243</v>
      </c>
      <c r="W114" s="12">
        <f t="shared" si="55"/>
        <v>1</v>
      </c>
      <c r="X114" s="12">
        <f t="shared" si="56"/>
        <v>1</v>
      </c>
      <c r="Y114" s="12">
        <f t="shared" si="57"/>
        <v>1</v>
      </c>
      <c r="Z114" s="12">
        <f t="shared" si="58"/>
        <v>1</v>
      </c>
      <c r="AA114" s="12">
        <f t="shared" si="59"/>
        <v>1</v>
      </c>
      <c r="AB114" s="12">
        <f t="shared" si="60"/>
        <v>1</v>
      </c>
      <c r="AC114" s="12">
        <f t="shared" si="61"/>
        <v>1</v>
      </c>
      <c r="AD114" s="12">
        <f t="shared" si="80"/>
        <v>1</v>
      </c>
      <c r="AE114" s="12">
        <f t="shared" si="81"/>
        <v>1</v>
      </c>
      <c r="AF114" s="12">
        <f t="shared" si="82"/>
        <v>1</v>
      </c>
      <c r="AG114" s="12">
        <f t="shared" si="83"/>
        <v>1</v>
      </c>
      <c r="AH114" s="12">
        <f t="shared" si="84"/>
        <v>1</v>
      </c>
      <c r="AI114" s="12">
        <f t="shared" si="85"/>
        <v>1</v>
      </c>
      <c r="AJ114" s="12">
        <f t="shared" si="86"/>
        <v>1</v>
      </c>
      <c r="AK114" s="12">
        <f t="shared" si="87"/>
        <v>1</v>
      </c>
      <c r="AL114" s="12">
        <f t="shared" si="88"/>
        <v>1</v>
      </c>
      <c r="AM114" s="12">
        <f t="shared" si="62"/>
        <v>1</v>
      </c>
      <c r="AN114" s="12">
        <f t="shared" si="63"/>
        <v>1</v>
      </c>
      <c r="AO114" s="12">
        <f t="shared" si="64"/>
        <v>1</v>
      </c>
      <c r="AP114" s="12">
        <f t="shared" si="65"/>
        <v>1</v>
      </c>
      <c r="AQ114" s="12">
        <f t="shared" si="66"/>
        <v>1</v>
      </c>
      <c r="AR114" s="12">
        <f t="shared" si="67"/>
        <v>1</v>
      </c>
      <c r="AS114" s="12" cm="1">
        <f t="array" ref="AS114">IF(AND(H114&lt;&gt;"",SUMPRODUCT(--ISNUMBER(FIND({0;1;2;3;4;5;6;7;8;9},H114)))=0),1,0)</f>
        <v>1</v>
      </c>
      <c r="AT114" s="12" cm="1">
        <f t="array" ref="AT114">IF(AND(I114&lt;&gt;"",SUMPRODUCT(--ISNUMBER(FIND({0;1;2;3;4;5;6;7;8;9},I114)))=0),1,0)</f>
        <v>1</v>
      </c>
      <c r="AU114" s="12" cm="1">
        <f t="array" ref="AU114">IF(AND(J114&lt;&gt;"",SUMPRODUCT(--ISNUMBER(FIND({0;1;2;3;4;5;6;7;8;9},J114)))=0),1,0)</f>
        <v>1</v>
      </c>
      <c r="AV114" s="12">
        <f t="shared" si="89"/>
        <v>1</v>
      </c>
      <c r="AW114" s="12">
        <f t="shared" ca="1" si="68"/>
        <v>1</v>
      </c>
      <c r="AX114" s="12">
        <f t="shared" si="69"/>
        <v>1</v>
      </c>
      <c r="AY114" s="12">
        <f t="shared" si="70"/>
        <v>1</v>
      </c>
      <c r="AZ114" s="12">
        <f t="shared" si="71"/>
        <v>1</v>
      </c>
      <c r="BA114" s="12">
        <f t="shared" si="72"/>
        <v>1</v>
      </c>
      <c r="BB114" s="12">
        <f t="shared" si="73"/>
        <v>1</v>
      </c>
      <c r="BC114" s="12">
        <f t="shared" ca="1" si="74"/>
        <v>1</v>
      </c>
      <c r="BD114" s="12">
        <f t="shared" si="75"/>
        <v>1</v>
      </c>
      <c r="BE114" s="12">
        <f t="shared" si="76"/>
        <v>1</v>
      </c>
      <c r="BF114" s="12">
        <f t="shared" si="77"/>
        <v>1</v>
      </c>
      <c r="BG114" s="12">
        <f t="shared" ca="1" si="78"/>
        <v>1</v>
      </c>
    </row>
    <row r="115" spans="1:59" ht="15.75" customHeight="1" x14ac:dyDescent="0.2">
      <c r="A115" s="19">
        <f t="shared" si="52"/>
        <v>1</v>
      </c>
      <c r="B115" s="20">
        <f t="shared" si="53"/>
        <v>1</v>
      </c>
      <c r="C115" s="20">
        <f t="shared" ca="1" si="54"/>
        <v>1</v>
      </c>
      <c r="D115" s="50">
        <f t="shared" ca="1" si="79"/>
        <v>0</v>
      </c>
      <c r="E115" s="11" t="s">
        <v>539</v>
      </c>
      <c r="F115" s="11" t="s">
        <v>137</v>
      </c>
      <c r="G115" s="11">
        <v>1000000114</v>
      </c>
      <c r="H115" s="11" t="s">
        <v>176</v>
      </c>
      <c r="I115" s="11" t="s">
        <v>200</v>
      </c>
      <c r="J115" s="11" t="s">
        <v>183</v>
      </c>
      <c r="K115" s="11" t="s">
        <v>141</v>
      </c>
      <c r="L115" s="70">
        <v>23807</v>
      </c>
      <c r="M115" s="11" t="s">
        <v>540</v>
      </c>
      <c r="N115" s="11">
        <v>3482140214</v>
      </c>
      <c r="O115" s="11" t="s">
        <v>541</v>
      </c>
      <c r="P115" s="11" t="s">
        <v>248</v>
      </c>
      <c r="Q115" s="11" t="s">
        <v>249</v>
      </c>
      <c r="R115" s="68">
        <v>45521</v>
      </c>
      <c r="S115" s="11" t="s">
        <v>157</v>
      </c>
      <c r="T115" s="11" t="s">
        <v>147</v>
      </c>
      <c r="U115" s="11">
        <v>85000</v>
      </c>
      <c r="V115" s="68">
        <v>45706</v>
      </c>
      <c r="W115" s="12">
        <f t="shared" si="55"/>
        <v>1</v>
      </c>
      <c r="X115" s="12">
        <f t="shared" si="56"/>
        <v>1</v>
      </c>
      <c r="Y115" s="12">
        <f t="shared" si="57"/>
        <v>1</v>
      </c>
      <c r="Z115" s="12">
        <f t="shared" si="58"/>
        <v>1</v>
      </c>
      <c r="AA115" s="12">
        <f t="shared" si="59"/>
        <v>1</v>
      </c>
      <c r="AB115" s="12">
        <f t="shared" si="60"/>
        <v>1</v>
      </c>
      <c r="AC115" s="12">
        <f t="shared" si="61"/>
        <v>1</v>
      </c>
      <c r="AD115" s="12">
        <f t="shared" si="80"/>
        <v>1</v>
      </c>
      <c r="AE115" s="12">
        <f t="shared" si="81"/>
        <v>1</v>
      </c>
      <c r="AF115" s="12">
        <f t="shared" si="82"/>
        <v>1</v>
      </c>
      <c r="AG115" s="12">
        <f t="shared" si="83"/>
        <v>1</v>
      </c>
      <c r="AH115" s="12">
        <f t="shared" si="84"/>
        <v>1</v>
      </c>
      <c r="AI115" s="12">
        <f t="shared" si="85"/>
        <v>1</v>
      </c>
      <c r="AJ115" s="12">
        <f t="shared" si="86"/>
        <v>1</v>
      </c>
      <c r="AK115" s="12">
        <f t="shared" si="87"/>
        <v>1</v>
      </c>
      <c r="AL115" s="12">
        <f t="shared" si="88"/>
        <v>1</v>
      </c>
      <c r="AM115" s="12">
        <f t="shared" si="62"/>
        <v>1</v>
      </c>
      <c r="AN115" s="12">
        <f t="shared" si="63"/>
        <v>1</v>
      </c>
      <c r="AO115" s="12">
        <f t="shared" si="64"/>
        <v>1</v>
      </c>
      <c r="AP115" s="12">
        <f t="shared" si="65"/>
        <v>1</v>
      </c>
      <c r="AQ115" s="12">
        <f t="shared" si="66"/>
        <v>1</v>
      </c>
      <c r="AR115" s="12">
        <f t="shared" si="67"/>
        <v>1</v>
      </c>
      <c r="AS115" s="12" cm="1">
        <f t="array" ref="AS115">IF(AND(H115&lt;&gt;"",SUMPRODUCT(--ISNUMBER(FIND({0;1;2;3;4;5;6;7;8;9},H115)))=0),1,0)</f>
        <v>1</v>
      </c>
      <c r="AT115" s="12" cm="1">
        <f t="array" ref="AT115">IF(AND(I115&lt;&gt;"",SUMPRODUCT(--ISNUMBER(FIND({0;1;2;3;4;5;6;7;8;9},I115)))=0),1,0)</f>
        <v>1</v>
      </c>
      <c r="AU115" s="12" cm="1">
        <f t="array" ref="AU115">IF(AND(J115&lt;&gt;"",SUMPRODUCT(--ISNUMBER(FIND({0;1;2;3;4;5;6;7;8;9},J115)))=0),1,0)</f>
        <v>1</v>
      </c>
      <c r="AV115" s="12">
        <f t="shared" si="89"/>
        <v>1</v>
      </c>
      <c r="AW115" s="12">
        <f t="shared" ca="1" si="68"/>
        <v>1</v>
      </c>
      <c r="AX115" s="12">
        <f t="shared" si="69"/>
        <v>1</v>
      </c>
      <c r="AY115" s="12">
        <f t="shared" si="70"/>
        <v>1</v>
      </c>
      <c r="AZ115" s="12">
        <f t="shared" si="71"/>
        <v>1</v>
      </c>
      <c r="BA115" s="12">
        <f t="shared" si="72"/>
        <v>1</v>
      </c>
      <c r="BB115" s="12">
        <f t="shared" si="73"/>
        <v>1</v>
      </c>
      <c r="BC115" s="12">
        <f t="shared" ca="1" si="74"/>
        <v>1</v>
      </c>
      <c r="BD115" s="12">
        <f t="shared" si="75"/>
        <v>1</v>
      </c>
      <c r="BE115" s="12">
        <f t="shared" si="76"/>
        <v>1</v>
      </c>
      <c r="BF115" s="12">
        <f t="shared" si="77"/>
        <v>1</v>
      </c>
      <c r="BG115" s="12">
        <f t="shared" ca="1" si="78"/>
        <v>1</v>
      </c>
    </row>
    <row r="116" spans="1:59" ht="15.75" customHeight="1" x14ac:dyDescent="0.2">
      <c r="A116" s="19">
        <f t="shared" si="52"/>
        <v>1</v>
      </c>
      <c r="B116" s="20">
        <f t="shared" si="53"/>
        <v>1</v>
      </c>
      <c r="C116" s="20">
        <f t="shared" ca="1" si="54"/>
        <v>1</v>
      </c>
      <c r="D116" s="50">
        <f t="shared" ca="1" si="79"/>
        <v>0</v>
      </c>
      <c r="E116" s="11" t="s">
        <v>542</v>
      </c>
      <c r="F116" s="11" t="s">
        <v>137</v>
      </c>
      <c r="G116" s="11">
        <v>1000000115</v>
      </c>
      <c r="H116" s="11" t="s">
        <v>294</v>
      </c>
      <c r="I116" s="11" t="s">
        <v>184</v>
      </c>
      <c r="J116" s="11" t="s">
        <v>231</v>
      </c>
      <c r="K116" s="11" t="s">
        <v>185</v>
      </c>
      <c r="L116" s="70">
        <v>34697</v>
      </c>
      <c r="M116" s="11" t="s">
        <v>543</v>
      </c>
      <c r="N116" s="11">
        <v>3799562866</v>
      </c>
      <c r="O116" s="11" t="s">
        <v>544</v>
      </c>
      <c r="P116" s="11" t="s">
        <v>155</v>
      </c>
      <c r="Q116" s="11" t="s">
        <v>156</v>
      </c>
      <c r="R116" s="68">
        <v>45771</v>
      </c>
      <c r="S116" s="11" t="s">
        <v>174</v>
      </c>
      <c r="T116" s="11" t="s">
        <v>166</v>
      </c>
      <c r="U116" s="11">
        <v>75000</v>
      </c>
      <c r="V116" s="68">
        <v>46008</v>
      </c>
      <c r="W116" s="12">
        <f t="shared" si="55"/>
        <v>1</v>
      </c>
      <c r="X116" s="12">
        <f t="shared" si="56"/>
        <v>1</v>
      </c>
      <c r="Y116" s="12">
        <f t="shared" si="57"/>
        <v>1</v>
      </c>
      <c r="Z116" s="12">
        <f t="shared" si="58"/>
        <v>1</v>
      </c>
      <c r="AA116" s="12">
        <f t="shared" si="59"/>
        <v>1</v>
      </c>
      <c r="AB116" s="12">
        <f t="shared" si="60"/>
        <v>1</v>
      </c>
      <c r="AC116" s="12">
        <f t="shared" si="61"/>
        <v>1</v>
      </c>
      <c r="AD116" s="12">
        <f t="shared" si="80"/>
        <v>1</v>
      </c>
      <c r="AE116" s="12">
        <f t="shared" si="81"/>
        <v>1</v>
      </c>
      <c r="AF116" s="12">
        <f t="shared" si="82"/>
        <v>1</v>
      </c>
      <c r="AG116" s="12">
        <f t="shared" si="83"/>
        <v>1</v>
      </c>
      <c r="AH116" s="12">
        <f t="shared" si="84"/>
        <v>1</v>
      </c>
      <c r="AI116" s="12">
        <f t="shared" si="85"/>
        <v>1</v>
      </c>
      <c r="AJ116" s="12">
        <f t="shared" si="86"/>
        <v>1</v>
      </c>
      <c r="AK116" s="12">
        <f t="shared" si="87"/>
        <v>1</v>
      </c>
      <c r="AL116" s="12">
        <f t="shared" si="88"/>
        <v>1</v>
      </c>
      <c r="AM116" s="12">
        <f t="shared" si="62"/>
        <v>1</v>
      </c>
      <c r="AN116" s="12">
        <f t="shared" si="63"/>
        <v>1</v>
      </c>
      <c r="AO116" s="12">
        <f t="shared" si="64"/>
        <v>1</v>
      </c>
      <c r="AP116" s="12">
        <f t="shared" si="65"/>
        <v>1</v>
      </c>
      <c r="AQ116" s="12">
        <f t="shared" si="66"/>
        <v>1</v>
      </c>
      <c r="AR116" s="12">
        <f t="shared" si="67"/>
        <v>1</v>
      </c>
      <c r="AS116" s="12" cm="1">
        <f t="array" ref="AS116">IF(AND(H116&lt;&gt;"",SUMPRODUCT(--ISNUMBER(FIND({0;1;2;3;4;5;6;7;8;9},H116)))=0),1,0)</f>
        <v>1</v>
      </c>
      <c r="AT116" s="12" cm="1">
        <f t="array" ref="AT116">IF(AND(I116&lt;&gt;"",SUMPRODUCT(--ISNUMBER(FIND({0;1;2;3;4;5;6;7;8;9},I116)))=0),1,0)</f>
        <v>1</v>
      </c>
      <c r="AU116" s="12" cm="1">
        <f t="array" ref="AU116">IF(AND(J116&lt;&gt;"",SUMPRODUCT(--ISNUMBER(FIND({0;1;2;3;4;5;6;7;8;9},J116)))=0),1,0)</f>
        <v>1</v>
      </c>
      <c r="AV116" s="12">
        <f t="shared" si="89"/>
        <v>1</v>
      </c>
      <c r="AW116" s="12">
        <f t="shared" ca="1" si="68"/>
        <v>1</v>
      </c>
      <c r="AX116" s="12">
        <f t="shared" si="69"/>
        <v>1</v>
      </c>
      <c r="AY116" s="12">
        <f t="shared" si="70"/>
        <v>1</v>
      </c>
      <c r="AZ116" s="12">
        <f t="shared" si="71"/>
        <v>1</v>
      </c>
      <c r="BA116" s="12">
        <f t="shared" si="72"/>
        <v>1</v>
      </c>
      <c r="BB116" s="12">
        <f t="shared" si="73"/>
        <v>1</v>
      </c>
      <c r="BC116" s="12">
        <f t="shared" ca="1" si="74"/>
        <v>1</v>
      </c>
      <c r="BD116" s="12">
        <f t="shared" si="75"/>
        <v>1</v>
      </c>
      <c r="BE116" s="12">
        <f t="shared" si="76"/>
        <v>1</v>
      </c>
      <c r="BF116" s="12">
        <f t="shared" si="77"/>
        <v>1</v>
      </c>
      <c r="BG116" s="12">
        <f t="shared" ca="1" si="78"/>
        <v>1</v>
      </c>
    </row>
    <row r="117" spans="1:59" ht="15.75" customHeight="1" x14ac:dyDescent="0.2">
      <c r="A117" s="19">
        <f t="shared" si="52"/>
        <v>1</v>
      </c>
      <c r="B117" s="20">
        <f t="shared" si="53"/>
        <v>1</v>
      </c>
      <c r="C117" s="20">
        <f t="shared" ca="1" si="54"/>
        <v>0</v>
      </c>
      <c r="D117" s="50">
        <f t="shared" ca="1" si="79"/>
        <v>1</v>
      </c>
      <c r="E117" s="11" t="s">
        <v>545</v>
      </c>
      <c r="F117" s="11" t="s">
        <v>149</v>
      </c>
      <c r="G117" s="11">
        <v>1000000116</v>
      </c>
      <c r="H117" s="11" t="s">
        <v>321</v>
      </c>
      <c r="I117" s="11" t="s">
        <v>168</v>
      </c>
      <c r="J117" s="11" t="s">
        <v>184</v>
      </c>
      <c r="K117" s="11" t="s">
        <v>185</v>
      </c>
      <c r="L117" s="70">
        <v>37734</v>
      </c>
      <c r="M117" s="11" t="s">
        <v>546</v>
      </c>
      <c r="N117" s="11">
        <v>3131981273</v>
      </c>
      <c r="O117" s="11" t="s">
        <v>547</v>
      </c>
      <c r="P117" s="11" t="s">
        <v>179</v>
      </c>
      <c r="Q117" s="11" t="s">
        <v>180</v>
      </c>
      <c r="R117" s="68">
        <v>46084</v>
      </c>
      <c r="S117" s="11" t="s">
        <v>146</v>
      </c>
      <c r="T117" s="11" t="s">
        <v>166</v>
      </c>
      <c r="U117" s="11">
        <v>90000</v>
      </c>
      <c r="V117" s="68">
        <v>46295</v>
      </c>
      <c r="W117" s="12">
        <f t="shared" si="55"/>
        <v>1</v>
      </c>
      <c r="X117" s="12">
        <f t="shared" si="56"/>
        <v>1</v>
      </c>
      <c r="Y117" s="12">
        <f t="shared" si="57"/>
        <v>1</v>
      </c>
      <c r="Z117" s="12">
        <f t="shared" si="58"/>
        <v>1</v>
      </c>
      <c r="AA117" s="12">
        <f t="shared" si="59"/>
        <v>1</v>
      </c>
      <c r="AB117" s="12">
        <f t="shared" si="60"/>
        <v>1</v>
      </c>
      <c r="AC117" s="12">
        <f t="shared" si="61"/>
        <v>1</v>
      </c>
      <c r="AD117" s="12">
        <f t="shared" si="80"/>
        <v>1</v>
      </c>
      <c r="AE117" s="12">
        <f t="shared" si="81"/>
        <v>1</v>
      </c>
      <c r="AF117" s="12">
        <f t="shared" si="82"/>
        <v>1</v>
      </c>
      <c r="AG117" s="12">
        <f t="shared" si="83"/>
        <v>1</v>
      </c>
      <c r="AH117" s="12">
        <f t="shared" si="84"/>
        <v>1</v>
      </c>
      <c r="AI117" s="12">
        <f t="shared" si="85"/>
        <v>1</v>
      </c>
      <c r="AJ117" s="12">
        <f t="shared" si="86"/>
        <v>1</v>
      </c>
      <c r="AK117" s="12">
        <f t="shared" si="87"/>
        <v>1</v>
      </c>
      <c r="AL117" s="12">
        <f t="shared" si="88"/>
        <v>1</v>
      </c>
      <c r="AM117" s="12">
        <f t="shared" si="62"/>
        <v>1</v>
      </c>
      <c r="AN117" s="12">
        <f t="shared" si="63"/>
        <v>1</v>
      </c>
      <c r="AO117" s="12">
        <f t="shared" si="64"/>
        <v>1</v>
      </c>
      <c r="AP117" s="12">
        <f t="shared" si="65"/>
        <v>1</v>
      </c>
      <c r="AQ117" s="12">
        <f t="shared" si="66"/>
        <v>1</v>
      </c>
      <c r="AR117" s="12">
        <f t="shared" si="67"/>
        <v>1</v>
      </c>
      <c r="AS117" s="12" cm="1">
        <f t="array" ref="AS117">IF(AND(H117&lt;&gt;"",SUMPRODUCT(--ISNUMBER(FIND({0;1;2;3;4;5;6;7;8;9},H117)))=0),1,0)</f>
        <v>1</v>
      </c>
      <c r="AT117" s="12" cm="1">
        <f t="array" ref="AT117">IF(AND(I117&lt;&gt;"",SUMPRODUCT(--ISNUMBER(FIND({0;1;2;3;4;5;6;7;8;9},I117)))=0),1,0)</f>
        <v>1</v>
      </c>
      <c r="AU117" s="12" cm="1">
        <f t="array" ref="AU117">IF(AND(J117&lt;&gt;"",SUMPRODUCT(--ISNUMBER(FIND({0;1;2;3;4;5;6;7;8;9},J117)))=0),1,0)</f>
        <v>1</v>
      </c>
      <c r="AV117" s="12">
        <f t="shared" si="89"/>
        <v>1</v>
      </c>
      <c r="AW117" s="12">
        <f t="shared" ca="1" si="68"/>
        <v>1</v>
      </c>
      <c r="AX117" s="12">
        <f t="shared" si="69"/>
        <v>1</v>
      </c>
      <c r="AY117" s="12">
        <f t="shared" si="70"/>
        <v>1</v>
      </c>
      <c r="AZ117" s="12">
        <f t="shared" si="71"/>
        <v>1</v>
      </c>
      <c r="BA117" s="12">
        <f t="shared" si="72"/>
        <v>1</v>
      </c>
      <c r="BB117" s="12">
        <f t="shared" si="73"/>
        <v>1</v>
      </c>
      <c r="BC117" s="12">
        <f t="shared" ca="1" si="74"/>
        <v>1</v>
      </c>
      <c r="BD117" s="12">
        <f t="shared" si="75"/>
        <v>1</v>
      </c>
      <c r="BE117" s="12">
        <f t="shared" si="76"/>
        <v>1</v>
      </c>
      <c r="BF117" s="12">
        <f t="shared" si="77"/>
        <v>1</v>
      </c>
      <c r="BG117" s="12">
        <f t="shared" ca="1" si="78"/>
        <v>0</v>
      </c>
    </row>
    <row r="118" spans="1:59" ht="15.75" customHeight="1" x14ac:dyDescent="0.2">
      <c r="A118" s="19">
        <f t="shared" si="52"/>
        <v>1</v>
      </c>
      <c r="B118" s="20">
        <f t="shared" si="53"/>
        <v>1</v>
      </c>
      <c r="C118" s="20">
        <f t="shared" ca="1" si="54"/>
        <v>0</v>
      </c>
      <c r="D118" s="50">
        <f t="shared" ca="1" si="79"/>
        <v>1</v>
      </c>
      <c r="E118" s="11" t="s">
        <v>548</v>
      </c>
      <c r="F118" s="11" t="s">
        <v>149</v>
      </c>
      <c r="G118" s="11">
        <v>1000000117</v>
      </c>
      <c r="H118" s="11" t="s">
        <v>251</v>
      </c>
      <c r="I118" s="11" t="s">
        <v>231</v>
      </c>
      <c r="J118" s="11" t="s">
        <v>231</v>
      </c>
      <c r="K118" s="11" t="s">
        <v>185</v>
      </c>
      <c r="L118" s="70">
        <v>38677</v>
      </c>
      <c r="M118" s="11" t="s">
        <v>549</v>
      </c>
      <c r="N118" s="11">
        <v>3256708521</v>
      </c>
      <c r="O118" s="11" t="s">
        <v>550</v>
      </c>
      <c r="P118" s="11" t="s">
        <v>248</v>
      </c>
      <c r="Q118" s="11" t="s">
        <v>249</v>
      </c>
      <c r="R118" s="68">
        <v>46007</v>
      </c>
      <c r="S118" s="11" t="s">
        <v>146</v>
      </c>
      <c r="T118" s="11" t="s">
        <v>166</v>
      </c>
      <c r="U118" s="11">
        <v>75000</v>
      </c>
      <c r="V118" s="68">
        <v>46322</v>
      </c>
      <c r="W118" s="12">
        <f t="shared" si="55"/>
        <v>1</v>
      </c>
      <c r="X118" s="12">
        <f t="shared" si="56"/>
        <v>1</v>
      </c>
      <c r="Y118" s="12">
        <f t="shared" si="57"/>
        <v>1</v>
      </c>
      <c r="Z118" s="12">
        <f t="shared" si="58"/>
        <v>1</v>
      </c>
      <c r="AA118" s="12">
        <f t="shared" si="59"/>
        <v>1</v>
      </c>
      <c r="AB118" s="12">
        <f t="shared" si="60"/>
        <v>1</v>
      </c>
      <c r="AC118" s="12">
        <f t="shared" si="61"/>
        <v>1</v>
      </c>
      <c r="AD118" s="12">
        <f t="shared" si="80"/>
        <v>1</v>
      </c>
      <c r="AE118" s="12">
        <f t="shared" si="81"/>
        <v>1</v>
      </c>
      <c r="AF118" s="12">
        <f t="shared" si="82"/>
        <v>1</v>
      </c>
      <c r="AG118" s="12">
        <f t="shared" si="83"/>
        <v>1</v>
      </c>
      <c r="AH118" s="12">
        <f t="shared" si="84"/>
        <v>1</v>
      </c>
      <c r="AI118" s="12">
        <f t="shared" si="85"/>
        <v>1</v>
      </c>
      <c r="AJ118" s="12">
        <f t="shared" si="86"/>
        <v>1</v>
      </c>
      <c r="AK118" s="12">
        <f t="shared" si="87"/>
        <v>1</v>
      </c>
      <c r="AL118" s="12">
        <f t="shared" si="88"/>
        <v>1</v>
      </c>
      <c r="AM118" s="12">
        <f t="shared" si="62"/>
        <v>1</v>
      </c>
      <c r="AN118" s="12">
        <f t="shared" si="63"/>
        <v>1</v>
      </c>
      <c r="AO118" s="12">
        <f t="shared" si="64"/>
        <v>1</v>
      </c>
      <c r="AP118" s="12">
        <f t="shared" si="65"/>
        <v>1</v>
      </c>
      <c r="AQ118" s="12">
        <f t="shared" si="66"/>
        <v>1</v>
      </c>
      <c r="AR118" s="12">
        <f t="shared" si="67"/>
        <v>1</v>
      </c>
      <c r="AS118" s="12" cm="1">
        <f t="array" ref="AS118">IF(AND(H118&lt;&gt;"",SUMPRODUCT(--ISNUMBER(FIND({0;1;2;3;4;5;6;7;8;9},H118)))=0),1,0)</f>
        <v>1</v>
      </c>
      <c r="AT118" s="12" cm="1">
        <f t="array" ref="AT118">IF(AND(I118&lt;&gt;"",SUMPRODUCT(--ISNUMBER(FIND({0;1;2;3;4;5;6;7;8;9},I118)))=0),1,0)</f>
        <v>1</v>
      </c>
      <c r="AU118" s="12" cm="1">
        <f t="array" ref="AU118">IF(AND(J118&lt;&gt;"",SUMPRODUCT(--ISNUMBER(FIND({0;1;2;3;4;5;6;7;8;9},J118)))=0),1,0)</f>
        <v>1</v>
      </c>
      <c r="AV118" s="12">
        <f t="shared" si="89"/>
        <v>1</v>
      </c>
      <c r="AW118" s="12">
        <f t="shared" ca="1" si="68"/>
        <v>1</v>
      </c>
      <c r="AX118" s="12">
        <f t="shared" si="69"/>
        <v>1</v>
      </c>
      <c r="AY118" s="12">
        <f t="shared" si="70"/>
        <v>1</v>
      </c>
      <c r="AZ118" s="12">
        <f t="shared" si="71"/>
        <v>1</v>
      </c>
      <c r="BA118" s="12">
        <f t="shared" si="72"/>
        <v>1</v>
      </c>
      <c r="BB118" s="12">
        <f t="shared" si="73"/>
        <v>1</v>
      </c>
      <c r="BC118" s="12">
        <f t="shared" ca="1" si="74"/>
        <v>1</v>
      </c>
      <c r="BD118" s="12">
        <f t="shared" si="75"/>
        <v>1</v>
      </c>
      <c r="BE118" s="12">
        <f t="shared" si="76"/>
        <v>1</v>
      </c>
      <c r="BF118" s="12">
        <f t="shared" si="77"/>
        <v>1</v>
      </c>
      <c r="BG118" s="12">
        <f t="shared" ca="1" si="78"/>
        <v>0</v>
      </c>
    </row>
    <row r="119" spans="1:59" ht="15.75" customHeight="1" x14ac:dyDescent="0.2">
      <c r="A119" s="19">
        <f t="shared" si="52"/>
        <v>1</v>
      </c>
      <c r="B119" s="20">
        <f t="shared" si="53"/>
        <v>1</v>
      </c>
      <c r="C119" s="20">
        <f t="shared" ca="1" si="54"/>
        <v>1</v>
      </c>
      <c r="D119" s="50">
        <f t="shared" ca="1" si="79"/>
        <v>0</v>
      </c>
      <c r="E119" s="11" t="s">
        <v>551</v>
      </c>
      <c r="F119" s="11" t="s">
        <v>160</v>
      </c>
      <c r="G119" s="11">
        <v>1000000118</v>
      </c>
      <c r="H119" s="11" t="s">
        <v>211</v>
      </c>
      <c r="I119" s="11" t="s">
        <v>168</v>
      </c>
      <c r="J119" s="11" t="s">
        <v>212</v>
      </c>
      <c r="K119" s="11" t="s">
        <v>141</v>
      </c>
      <c r="L119" s="70">
        <v>29531</v>
      </c>
      <c r="M119" s="11" t="s">
        <v>552</v>
      </c>
      <c r="N119" s="11">
        <v>3875136646</v>
      </c>
      <c r="O119" s="11" t="s">
        <v>553</v>
      </c>
      <c r="P119" s="11" t="s">
        <v>165</v>
      </c>
      <c r="Q119" s="11" t="s">
        <v>156</v>
      </c>
      <c r="R119" s="68">
        <v>45556</v>
      </c>
      <c r="S119" s="11" t="s">
        <v>157</v>
      </c>
      <c r="T119" s="11" t="s">
        <v>147</v>
      </c>
      <c r="U119" s="11">
        <v>95000</v>
      </c>
      <c r="V119" s="68">
        <v>45680</v>
      </c>
      <c r="W119" s="12">
        <f t="shared" si="55"/>
        <v>1</v>
      </c>
      <c r="X119" s="12">
        <f t="shared" si="56"/>
        <v>1</v>
      </c>
      <c r="Y119" s="12">
        <f t="shared" si="57"/>
        <v>1</v>
      </c>
      <c r="Z119" s="12">
        <f t="shared" si="58"/>
        <v>1</v>
      </c>
      <c r="AA119" s="12">
        <f t="shared" si="59"/>
        <v>1</v>
      </c>
      <c r="AB119" s="12">
        <f t="shared" si="60"/>
        <v>1</v>
      </c>
      <c r="AC119" s="12">
        <f t="shared" si="61"/>
        <v>1</v>
      </c>
      <c r="AD119" s="12">
        <f t="shared" si="80"/>
        <v>1</v>
      </c>
      <c r="AE119" s="12">
        <f t="shared" si="81"/>
        <v>1</v>
      </c>
      <c r="AF119" s="12">
        <f t="shared" si="82"/>
        <v>1</v>
      </c>
      <c r="AG119" s="12">
        <f t="shared" si="83"/>
        <v>1</v>
      </c>
      <c r="AH119" s="12">
        <f t="shared" si="84"/>
        <v>1</v>
      </c>
      <c r="AI119" s="12">
        <f t="shared" si="85"/>
        <v>1</v>
      </c>
      <c r="AJ119" s="12">
        <f t="shared" si="86"/>
        <v>1</v>
      </c>
      <c r="AK119" s="12">
        <f t="shared" si="87"/>
        <v>1</v>
      </c>
      <c r="AL119" s="12">
        <f t="shared" si="88"/>
        <v>1</v>
      </c>
      <c r="AM119" s="12">
        <f t="shared" si="62"/>
        <v>1</v>
      </c>
      <c r="AN119" s="12">
        <f t="shared" si="63"/>
        <v>1</v>
      </c>
      <c r="AO119" s="12">
        <f t="shared" si="64"/>
        <v>1</v>
      </c>
      <c r="AP119" s="12">
        <f t="shared" si="65"/>
        <v>1</v>
      </c>
      <c r="AQ119" s="12">
        <f t="shared" si="66"/>
        <v>1</v>
      </c>
      <c r="AR119" s="12">
        <f t="shared" si="67"/>
        <v>1</v>
      </c>
      <c r="AS119" s="12" cm="1">
        <f t="array" ref="AS119">IF(AND(H119&lt;&gt;"",SUMPRODUCT(--ISNUMBER(FIND({0;1;2;3;4;5;6;7;8;9},H119)))=0),1,0)</f>
        <v>1</v>
      </c>
      <c r="AT119" s="12" cm="1">
        <f t="array" ref="AT119">IF(AND(I119&lt;&gt;"",SUMPRODUCT(--ISNUMBER(FIND({0;1;2;3;4;5;6;7;8;9},I119)))=0),1,0)</f>
        <v>1</v>
      </c>
      <c r="AU119" s="12" cm="1">
        <f t="array" ref="AU119">IF(AND(J119&lt;&gt;"",SUMPRODUCT(--ISNUMBER(FIND({0;1;2;3;4;5;6;7;8;9},J119)))=0),1,0)</f>
        <v>1</v>
      </c>
      <c r="AV119" s="12">
        <f t="shared" si="89"/>
        <v>1</v>
      </c>
      <c r="AW119" s="12">
        <f t="shared" ca="1" si="68"/>
        <v>1</v>
      </c>
      <c r="AX119" s="12">
        <f t="shared" si="69"/>
        <v>1</v>
      </c>
      <c r="AY119" s="12">
        <f t="shared" si="70"/>
        <v>1</v>
      </c>
      <c r="AZ119" s="12">
        <f t="shared" si="71"/>
        <v>1</v>
      </c>
      <c r="BA119" s="12">
        <f t="shared" si="72"/>
        <v>1</v>
      </c>
      <c r="BB119" s="12">
        <f t="shared" si="73"/>
        <v>1</v>
      </c>
      <c r="BC119" s="12">
        <f t="shared" ca="1" si="74"/>
        <v>1</v>
      </c>
      <c r="BD119" s="12">
        <f t="shared" si="75"/>
        <v>1</v>
      </c>
      <c r="BE119" s="12">
        <f t="shared" si="76"/>
        <v>1</v>
      </c>
      <c r="BF119" s="12">
        <f t="shared" si="77"/>
        <v>1</v>
      </c>
      <c r="BG119" s="12">
        <f t="shared" ca="1" si="78"/>
        <v>1</v>
      </c>
    </row>
    <row r="120" spans="1:59" ht="15.75" customHeight="1" x14ac:dyDescent="0.2">
      <c r="A120" s="19">
        <f t="shared" si="52"/>
        <v>1</v>
      </c>
      <c r="B120" s="20">
        <f t="shared" si="53"/>
        <v>1</v>
      </c>
      <c r="C120" s="20">
        <f t="shared" ca="1" si="54"/>
        <v>1</v>
      </c>
      <c r="D120" s="50">
        <f t="shared" ca="1" si="79"/>
        <v>0</v>
      </c>
      <c r="E120" s="11" t="s">
        <v>554</v>
      </c>
      <c r="F120" s="11" t="s">
        <v>149</v>
      </c>
      <c r="G120" s="11">
        <v>1000000119</v>
      </c>
      <c r="H120" s="11" t="s">
        <v>211</v>
      </c>
      <c r="I120" s="11" t="s">
        <v>168</v>
      </c>
      <c r="J120" s="11" t="s">
        <v>231</v>
      </c>
      <c r="K120" s="11" t="s">
        <v>141</v>
      </c>
      <c r="L120" s="70">
        <v>35915</v>
      </c>
      <c r="M120" s="11" t="s">
        <v>555</v>
      </c>
      <c r="N120" s="11">
        <v>3437767580</v>
      </c>
      <c r="O120" s="11" t="s">
        <v>556</v>
      </c>
      <c r="P120" s="11" t="s">
        <v>144</v>
      </c>
      <c r="Q120" s="11" t="s">
        <v>145</v>
      </c>
      <c r="R120" s="68">
        <v>45752</v>
      </c>
      <c r="S120" s="11" t="s">
        <v>174</v>
      </c>
      <c r="T120" s="11" t="s">
        <v>166</v>
      </c>
      <c r="U120" s="11">
        <v>75000</v>
      </c>
      <c r="V120" s="68">
        <v>46113</v>
      </c>
      <c r="W120" s="12">
        <f t="shared" si="55"/>
        <v>1</v>
      </c>
      <c r="X120" s="12">
        <f t="shared" si="56"/>
        <v>1</v>
      </c>
      <c r="Y120" s="12">
        <f t="shared" si="57"/>
        <v>1</v>
      </c>
      <c r="Z120" s="12">
        <f t="shared" si="58"/>
        <v>1</v>
      </c>
      <c r="AA120" s="12">
        <f t="shared" si="59"/>
        <v>1</v>
      </c>
      <c r="AB120" s="12">
        <f t="shared" si="60"/>
        <v>1</v>
      </c>
      <c r="AC120" s="12">
        <f t="shared" si="61"/>
        <v>1</v>
      </c>
      <c r="AD120" s="12">
        <f t="shared" si="80"/>
        <v>1</v>
      </c>
      <c r="AE120" s="12">
        <f t="shared" si="81"/>
        <v>1</v>
      </c>
      <c r="AF120" s="12">
        <f t="shared" si="82"/>
        <v>1</v>
      </c>
      <c r="AG120" s="12">
        <f t="shared" si="83"/>
        <v>1</v>
      </c>
      <c r="AH120" s="12">
        <f t="shared" si="84"/>
        <v>1</v>
      </c>
      <c r="AI120" s="12">
        <f t="shared" si="85"/>
        <v>1</v>
      </c>
      <c r="AJ120" s="12">
        <f t="shared" si="86"/>
        <v>1</v>
      </c>
      <c r="AK120" s="12">
        <f t="shared" si="87"/>
        <v>1</v>
      </c>
      <c r="AL120" s="12">
        <f t="shared" si="88"/>
        <v>1</v>
      </c>
      <c r="AM120" s="12">
        <f t="shared" si="62"/>
        <v>1</v>
      </c>
      <c r="AN120" s="12">
        <f t="shared" si="63"/>
        <v>1</v>
      </c>
      <c r="AO120" s="12">
        <f t="shared" si="64"/>
        <v>1</v>
      </c>
      <c r="AP120" s="12">
        <f t="shared" si="65"/>
        <v>1</v>
      </c>
      <c r="AQ120" s="12">
        <f t="shared" si="66"/>
        <v>1</v>
      </c>
      <c r="AR120" s="12">
        <f t="shared" si="67"/>
        <v>1</v>
      </c>
      <c r="AS120" s="12" cm="1">
        <f t="array" ref="AS120">IF(AND(H120&lt;&gt;"",SUMPRODUCT(--ISNUMBER(FIND({0;1;2;3;4;5;6;7;8;9},H120)))=0),1,0)</f>
        <v>1</v>
      </c>
      <c r="AT120" s="12" cm="1">
        <f t="array" ref="AT120">IF(AND(I120&lt;&gt;"",SUMPRODUCT(--ISNUMBER(FIND({0;1;2;3;4;5;6;7;8;9},I120)))=0),1,0)</f>
        <v>1</v>
      </c>
      <c r="AU120" s="12" cm="1">
        <f t="array" ref="AU120">IF(AND(J120&lt;&gt;"",SUMPRODUCT(--ISNUMBER(FIND({0;1;2;3;4;5;6;7;8;9},J120)))=0),1,0)</f>
        <v>1</v>
      </c>
      <c r="AV120" s="12">
        <f t="shared" si="89"/>
        <v>1</v>
      </c>
      <c r="AW120" s="12">
        <f t="shared" ca="1" si="68"/>
        <v>1</v>
      </c>
      <c r="AX120" s="12">
        <f t="shared" si="69"/>
        <v>1</v>
      </c>
      <c r="AY120" s="12">
        <f t="shared" si="70"/>
        <v>1</v>
      </c>
      <c r="AZ120" s="12">
        <f t="shared" si="71"/>
        <v>1</v>
      </c>
      <c r="BA120" s="12">
        <f t="shared" si="72"/>
        <v>1</v>
      </c>
      <c r="BB120" s="12">
        <f t="shared" si="73"/>
        <v>1</v>
      </c>
      <c r="BC120" s="12">
        <f t="shared" ca="1" si="74"/>
        <v>1</v>
      </c>
      <c r="BD120" s="12">
        <f t="shared" si="75"/>
        <v>1</v>
      </c>
      <c r="BE120" s="12">
        <f t="shared" si="76"/>
        <v>1</v>
      </c>
      <c r="BF120" s="12">
        <f t="shared" si="77"/>
        <v>1</v>
      </c>
      <c r="BG120" s="12">
        <f t="shared" ca="1" si="78"/>
        <v>1</v>
      </c>
    </row>
    <row r="121" spans="1:59" ht="15.75" customHeight="1" x14ac:dyDescent="0.2">
      <c r="A121" s="19">
        <f t="shared" si="52"/>
        <v>1</v>
      </c>
      <c r="B121" s="20">
        <f t="shared" si="53"/>
        <v>1</v>
      </c>
      <c r="C121" s="20">
        <f t="shared" ca="1" si="54"/>
        <v>1</v>
      </c>
      <c r="D121" s="50">
        <f t="shared" ca="1" si="79"/>
        <v>0</v>
      </c>
      <c r="E121" s="11" t="s">
        <v>557</v>
      </c>
      <c r="F121" s="11" t="s">
        <v>137</v>
      </c>
      <c r="G121" s="11">
        <v>1000000120</v>
      </c>
      <c r="H121" s="11" t="s">
        <v>199</v>
      </c>
      <c r="I121" s="11" t="s">
        <v>169</v>
      </c>
      <c r="J121" s="11" t="s">
        <v>260</v>
      </c>
      <c r="K121" s="11" t="s">
        <v>185</v>
      </c>
      <c r="L121" s="70">
        <v>24345</v>
      </c>
      <c r="M121" s="11" t="s">
        <v>558</v>
      </c>
      <c r="N121" s="11">
        <v>3261111580</v>
      </c>
      <c r="O121" s="11" t="s">
        <v>559</v>
      </c>
      <c r="P121" s="11" t="s">
        <v>165</v>
      </c>
      <c r="Q121" s="11" t="s">
        <v>156</v>
      </c>
      <c r="R121" s="68">
        <v>45994</v>
      </c>
      <c r="S121" s="11" t="s">
        <v>157</v>
      </c>
      <c r="T121" s="11" t="s">
        <v>147</v>
      </c>
      <c r="U121" s="11">
        <v>95000</v>
      </c>
      <c r="V121" s="68">
        <v>46033</v>
      </c>
      <c r="W121" s="12">
        <f t="shared" si="55"/>
        <v>1</v>
      </c>
      <c r="X121" s="12">
        <f t="shared" si="56"/>
        <v>1</v>
      </c>
      <c r="Y121" s="12">
        <f t="shared" si="57"/>
        <v>1</v>
      </c>
      <c r="Z121" s="12">
        <f t="shared" si="58"/>
        <v>1</v>
      </c>
      <c r="AA121" s="12">
        <f t="shared" si="59"/>
        <v>1</v>
      </c>
      <c r="AB121" s="12">
        <f t="shared" si="60"/>
        <v>1</v>
      </c>
      <c r="AC121" s="12">
        <f t="shared" si="61"/>
        <v>1</v>
      </c>
      <c r="AD121" s="12">
        <f t="shared" si="80"/>
        <v>1</v>
      </c>
      <c r="AE121" s="12">
        <f t="shared" si="81"/>
        <v>1</v>
      </c>
      <c r="AF121" s="12">
        <f t="shared" si="82"/>
        <v>1</v>
      </c>
      <c r="AG121" s="12">
        <f t="shared" si="83"/>
        <v>1</v>
      </c>
      <c r="AH121" s="12">
        <f t="shared" si="84"/>
        <v>1</v>
      </c>
      <c r="AI121" s="12">
        <f t="shared" si="85"/>
        <v>1</v>
      </c>
      <c r="AJ121" s="12">
        <f t="shared" si="86"/>
        <v>1</v>
      </c>
      <c r="AK121" s="12">
        <f t="shared" si="87"/>
        <v>1</v>
      </c>
      <c r="AL121" s="12">
        <f t="shared" si="88"/>
        <v>1</v>
      </c>
      <c r="AM121" s="12">
        <f t="shared" si="62"/>
        <v>1</v>
      </c>
      <c r="AN121" s="12">
        <f t="shared" si="63"/>
        <v>1</v>
      </c>
      <c r="AO121" s="12">
        <f t="shared" si="64"/>
        <v>1</v>
      </c>
      <c r="AP121" s="12">
        <f t="shared" si="65"/>
        <v>1</v>
      </c>
      <c r="AQ121" s="12">
        <f t="shared" si="66"/>
        <v>1</v>
      </c>
      <c r="AR121" s="12">
        <f t="shared" si="67"/>
        <v>1</v>
      </c>
      <c r="AS121" s="12" cm="1">
        <f t="array" ref="AS121">IF(AND(H121&lt;&gt;"",SUMPRODUCT(--ISNUMBER(FIND({0;1;2;3;4;5;6;7;8;9},H121)))=0),1,0)</f>
        <v>1</v>
      </c>
      <c r="AT121" s="12" cm="1">
        <f t="array" ref="AT121">IF(AND(I121&lt;&gt;"",SUMPRODUCT(--ISNUMBER(FIND({0;1;2;3;4;5;6;7;8;9},I121)))=0),1,0)</f>
        <v>1</v>
      </c>
      <c r="AU121" s="12" cm="1">
        <f t="array" ref="AU121">IF(AND(J121&lt;&gt;"",SUMPRODUCT(--ISNUMBER(FIND({0;1;2;3;4;5;6;7;8;9},J121)))=0),1,0)</f>
        <v>1</v>
      </c>
      <c r="AV121" s="12">
        <f t="shared" si="89"/>
        <v>1</v>
      </c>
      <c r="AW121" s="12">
        <f t="shared" ca="1" si="68"/>
        <v>1</v>
      </c>
      <c r="AX121" s="12">
        <f t="shared" si="69"/>
        <v>1</v>
      </c>
      <c r="AY121" s="12">
        <f t="shared" si="70"/>
        <v>1</v>
      </c>
      <c r="AZ121" s="12">
        <f t="shared" si="71"/>
        <v>1</v>
      </c>
      <c r="BA121" s="12">
        <f t="shared" si="72"/>
        <v>1</v>
      </c>
      <c r="BB121" s="12">
        <f t="shared" si="73"/>
        <v>1</v>
      </c>
      <c r="BC121" s="12">
        <f t="shared" ca="1" si="74"/>
        <v>1</v>
      </c>
      <c r="BD121" s="12">
        <f t="shared" si="75"/>
        <v>1</v>
      </c>
      <c r="BE121" s="12">
        <f t="shared" si="76"/>
        <v>1</v>
      </c>
      <c r="BF121" s="12">
        <f t="shared" si="77"/>
        <v>1</v>
      </c>
      <c r="BG121" s="12">
        <f t="shared" ca="1" si="78"/>
        <v>1</v>
      </c>
    </row>
    <row r="122" spans="1:59" ht="15.75" customHeight="1" x14ac:dyDescent="0.2">
      <c r="A122" s="19">
        <f t="shared" si="52"/>
        <v>1</v>
      </c>
      <c r="B122" s="20">
        <f t="shared" si="53"/>
        <v>1</v>
      </c>
      <c r="C122" s="20">
        <f t="shared" ca="1" si="54"/>
        <v>1</v>
      </c>
      <c r="D122" s="50">
        <f t="shared" ca="1" si="79"/>
        <v>0</v>
      </c>
      <c r="E122" s="11" t="s">
        <v>560</v>
      </c>
      <c r="F122" s="11" t="s">
        <v>160</v>
      </c>
      <c r="G122" s="11">
        <v>1000000121</v>
      </c>
      <c r="H122" s="11" t="s">
        <v>337</v>
      </c>
      <c r="I122" s="11" t="s">
        <v>184</v>
      </c>
      <c r="J122" s="11" t="s">
        <v>162</v>
      </c>
      <c r="K122" s="11" t="s">
        <v>185</v>
      </c>
      <c r="L122" s="70">
        <v>24150</v>
      </c>
      <c r="M122" s="11" t="s">
        <v>561</v>
      </c>
      <c r="N122" s="11">
        <v>3732239949</v>
      </c>
      <c r="O122" s="11" t="s">
        <v>562</v>
      </c>
      <c r="P122" s="11" t="s">
        <v>179</v>
      </c>
      <c r="Q122" s="11" t="s">
        <v>180</v>
      </c>
      <c r="R122" s="68">
        <v>44833</v>
      </c>
      <c r="S122" s="11" t="s">
        <v>157</v>
      </c>
      <c r="T122" s="11" t="s">
        <v>158</v>
      </c>
      <c r="U122" s="11">
        <v>85000</v>
      </c>
      <c r="V122" s="68">
        <v>44862</v>
      </c>
      <c r="W122" s="12">
        <f t="shared" si="55"/>
        <v>1</v>
      </c>
      <c r="X122" s="12">
        <f t="shared" si="56"/>
        <v>1</v>
      </c>
      <c r="Y122" s="12">
        <f t="shared" si="57"/>
        <v>1</v>
      </c>
      <c r="Z122" s="12">
        <f t="shared" si="58"/>
        <v>1</v>
      </c>
      <c r="AA122" s="12">
        <f t="shared" si="59"/>
        <v>1</v>
      </c>
      <c r="AB122" s="12">
        <f t="shared" si="60"/>
        <v>1</v>
      </c>
      <c r="AC122" s="12">
        <f t="shared" si="61"/>
        <v>1</v>
      </c>
      <c r="AD122" s="12">
        <f t="shared" si="80"/>
        <v>1</v>
      </c>
      <c r="AE122" s="12">
        <f t="shared" si="81"/>
        <v>1</v>
      </c>
      <c r="AF122" s="12">
        <f t="shared" si="82"/>
        <v>1</v>
      </c>
      <c r="AG122" s="12">
        <f t="shared" si="83"/>
        <v>1</v>
      </c>
      <c r="AH122" s="12">
        <f t="shared" si="84"/>
        <v>1</v>
      </c>
      <c r="AI122" s="12">
        <f t="shared" si="85"/>
        <v>1</v>
      </c>
      <c r="AJ122" s="12">
        <f t="shared" si="86"/>
        <v>1</v>
      </c>
      <c r="AK122" s="12">
        <f t="shared" si="87"/>
        <v>1</v>
      </c>
      <c r="AL122" s="12">
        <f t="shared" si="88"/>
        <v>1</v>
      </c>
      <c r="AM122" s="12">
        <f t="shared" si="62"/>
        <v>1</v>
      </c>
      <c r="AN122" s="12">
        <f t="shared" si="63"/>
        <v>1</v>
      </c>
      <c r="AO122" s="12">
        <f t="shared" si="64"/>
        <v>1</v>
      </c>
      <c r="AP122" s="12">
        <f t="shared" si="65"/>
        <v>1</v>
      </c>
      <c r="AQ122" s="12">
        <f t="shared" si="66"/>
        <v>1</v>
      </c>
      <c r="AR122" s="12">
        <f t="shared" si="67"/>
        <v>1</v>
      </c>
      <c r="AS122" s="12" cm="1">
        <f t="array" ref="AS122">IF(AND(H122&lt;&gt;"",SUMPRODUCT(--ISNUMBER(FIND({0;1;2;3;4;5;6;7;8;9},H122)))=0),1,0)</f>
        <v>1</v>
      </c>
      <c r="AT122" s="12" cm="1">
        <f t="array" ref="AT122">IF(AND(I122&lt;&gt;"",SUMPRODUCT(--ISNUMBER(FIND({0;1;2;3;4;5;6;7;8;9},I122)))=0),1,0)</f>
        <v>1</v>
      </c>
      <c r="AU122" s="12" cm="1">
        <f t="array" ref="AU122">IF(AND(J122&lt;&gt;"",SUMPRODUCT(--ISNUMBER(FIND({0;1;2;3;4;5;6;7;8;9},J122)))=0),1,0)</f>
        <v>1</v>
      </c>
      <c r="AV122" s="12">
        <f t="shared" si="89"/>
        <v>1</v>
      </c>
      <c r="AW122" s="12">
        <f t="shared" ca="1" si="68"/>
        <v>1</v>
      </c>
      <c r="AX122" s="12">
        <f t="shared" si="69"/>
        <v>1</v>
      </c>
      <c r="AY122" s="12">
        <f t="shared" si="70"/>
        <v>1</v>
      </c>
      <c r="AZ122" s="12">
        <f t="shared" si="71"/>
        <v>1</v>
      </c>
      <c r="BA122" s="12">
        <f t="shared" si="72"/>
        <v>1</v>
      </c>
      <c r="BB122" s="12">
        <f t="shared" si="73"/>
        <v>1</v>
      </c>
      <c r="BC122" s="12">
        <f t="shared" ca="1" si="74"/>
        <v>1</v>
      </c>
      <c r="BD122" s="12">
        <f t="shared" si="75"/>
        <v>1</v>
      </c>
      <c r="BE122" s="12">
        <f t="shared" si="76"/>
        <v>1</v>
      </c>
      <c r="BF122" s="12">
        <f t="shared" si="77"/>
        <v>1</v>
      </c>
      <c r="BG122" s="12">
        <f t="shared" ca="1" si="78"/>
        <v>1</v>
      </c>
    </row>
    <row r="123" spans="1:59" ht="15.75" customHeight="1" x14ac:dyDescent="0.2">
      <c r="A123" s="19">
        <f t="shared" si="52"/>
        <v>1</v>
      </c>
      <c r="B123" s="20">
        <f t="shared" si="53"/>
        <v>1</v>
      </c>
      <c r="C123" s="20">
        <f t="shared" ca="1" si="54"/>
        <v>1</v>
      </c>
      <c r="D123" s="50">
        <f t="shared" ca="1" si="79"/>
        <v>0</v>
      </c>
      <c r="E123" s="11" t="s">
        <v>563</v>
      </c>
      <c r="F123" s="11" t="s">
        <v>160</v>
      </c>
      <c r="G123" s="11">
        <v>1000000122</v>
      </c>
      <c r="H123" s="11" t="s">
        <v>294</v>
      </c>
      <c r="I123" s="11" t="s">
        <v>152</v>
      </c>
      <c r="J123" s="11" t="s">
        <v>221</v>
      </c>
      <c r="K123" s="11" t="s">
        <v>185</v>
      </c>
      <c r="L123" s="70">
        <v>27936</v>
      </c>
      <c r="M123" s="11" t="s">
        <v>564</v>
      </c>
      <c r="N123" s="11">
        <v>3755008586</v>
      </c>
      <c r="O123" s="11" t="s">
        <v>565</v>
      </c>
      <c r="P123" s="11" t="s">
        <v>217</v>
      </c>
      <c r="Q123" s="11" t="s">
        <v>218</v>
      </c>
      <c r="R123" s="68">
        <v>45760</v>
      </c>
      <c r="S123" s="11" t="s">
        <v>174</v>
      </c>
      <c r="T123" s="11" t="s">
        <v>166</v>
      </c>
      <c r="U123" s="11">
        <v>75000</v>
      </c>
      <c r="V123" s="68">
        <v>45989</v>
      </c>
      <c r="W123" s="12">
        <f t="shared" si="55"/>
        <v>1</v>
      </c>
      <c r="X123" s="12">
        <f t="shared" si="56"/>
        <v>1</v>
      </c>
      <c r="Y123" s="12">
        <f t="shared" si="57"/>
        <v>1</v>
      </c>
      <c r="Z123" s="12">
        <f t="shared" si="58"/>
        <v>1</v>
      </c>
      <c r="AA123" s="12">
        <f t="shared" si="59"/>
        <v>1</v>
      </c>
      <c r="AB123" s="12">
        <f t="shared" si="60"/>
        <v>1</v>
      </c>
      <c r="AC123" s="12">
        <f t="shared" si="61"/>
        <v>1</v>
      </c>
      <c r="AD123" s="12">
        <f t="shared" si="80"/>
        <v>1</v>
      </c>
      <c r="AE123" s="12">
        <f t="shared" si="81"/>
        <v>1</v>
      </c>
      <c r="AF123" s="12">
        <f t="shared" si="82"/>
        <v>1</v>
      </c>
      <c r="AG123" s="12">
        <f t="shared" si="83"/>
        <v>1</v>
      </c>
      <c r="AH123" s="12">
        <f t="shared" si="84"/>
        <v>1</v>
      </c>
      <c r="AI123" s="12">
        <f t="shared" si="85"/>
        <v>1</v>
      </c>
      <c r="AJ123" s="12">
        <f t="shared" si="86"/>
        <v>1</v>
      </c>
      <c r="AK123" s="12">
        <f t="shared" si="87"/>
        <v>1</v>
      </c>
      <c r="AL123" s="12">
        <f t="shared" si="88"/>
        <v>1</v>
      </c>
      <c r="AM123" s="12">
        <f t="shared" si="62"/>
        <v>1</v>
      </c>
      <c r="AN123" s="12">
        <f t="shared" si="63"/>
        <v>1</v>
      </c>
      <c r="AO123" s="12">
        <f t="shared" si="64"/>
        <v>1</v>
      </c>
      <c r="AP123" s="12">
        <f t="shared" si="65"/>
        <v>1</v>
      </c>
      <c r="AQ123" s="12">
        <f t="shared" si="66"/>
        <v>1</v>
      </c>
      <c r="AR123" s="12">
        <f t="shared" si="67"/>
        <v>1</v>
      </c>
      <c r="AS123" s="12" cm="1">
        <f t="array" ref="AS123">IF(AND(H123&lt;&gt;"",SUMPRODUCT(--ISNUMBER(FIND({0;1;2;3;4;5;6;7;8;9},H123)))=0),1,0)</f>
        <v>1</v>
      </c>
      <c r="AT123" s="12" cm="1">
        <f t="array" ref="AT123">IF(AND(I123&lt;&gt;"",SUMPRODUCT(--ISNUMBER(FIND({0;1;2;3;4;5;6;7;8;9},I123)))=0),1,0)</f>
        <v>1</v>
      </c>
      <c r="AU123" s="12" cm="1">
        <f t="array" ref="AU123">IF(AND(J123&lt;&gt;"",SUMPRODUCT(--ISNUMBER(FIND({0;1;2;3;4;5;6;7;8;9},J123)))=0),1,0)</f>
        <v>1</v>
      </c>
      <c r="AV123" s="12">
        <f t="shared" si="89"/>
        <v>1</v>
      </c>
      <c r="AW123" s="12">
        <f t="shared" ca="1" si="68"/>
        <v>1</v>
      </c>
      <c r="AX123" s="12">
        <f t="shared" si="69"/>
        <v>1</v>
      </c>
      <c r="AY123" s="12">
        <f t="shared" si="70"/>
        <v>1</v>
      </c>
      <c r="AZ123" s="12">
        <f t="shared" si="71"/>
        <v>1</v>
      </c>
      <c r="BA123" s="12">
        <f t="shared" si="72"/>
        <v>1</v>
      </c>
      <c r="BB123" s="12">
        <f t="shared" si="73"/>
        <v>1</v>
      </c>
      <c r="BC123" s="12">
        <f t="shared" ca="1" si="74"/>
        <v>1</v>
      </c>
      <c r="BD123" s="12">
        <f t="shared" si="75"/>
        <v>1</v>
      </c>
      <c r="BE123" s="12">
        <f t="shared" si="76"/>
        <v>1</v>
      </c>
      <c r="BF123" s="12">
        <f t="shared" si="77"/>
        <v>1</v>
      </c>
      <c r="BG123" s="12">
        <f t="shared" ca="1" si="78"/>
        <v>1</v>
      </c>
    </row>
    <row r="124" spans="1:59" ht="15.75" customHeight="1" x14ac:dyDescent="0.2">
      <c r="A124" s="19">
        <f t="shared" si="52"/>
        <v>1</v>
      </c>
      <c r="B124" s="20">
        <f t="shared" si="53"/>
        <v>1</v>
      </c>
      <c r="C124" s="20">
        <f t="shared" ca="1" si="54"/>
        <v>1</v>
      </c>
      <c r="D124" s="50">
        <f t="shared" ca="1" si="79"/>
        <v>0</v>
      </c>
      <c r="E124" s="11" t="s">
        <v>566</v>
      </c>
      <c r="F124" s="11" t="s">
        <v>137</v>
      </c>
      <c r="G124" s="11">
        <v>1000000123</v>
      </c>
      <c r="H124" s="11" t="s">
        <v>207</v>
      </c>
      <c r="I124" s="11" t="s">
        <v>152</v>
      </c>
      <c r="J124" s="11" t="s">
        <v>212</v>
      </c>
      <c r="K124" s="11" t="s">
        <v>141</v>
      </c>
      <c r="L124" s="70">
        <v>24487</v>
      </c>
      <c r="M124" s="11" t="s">
        <v>567</v>
      </c>
      <c r="N124" s="11">
        <v>3934892702</v>
      </c>
      <c r="O124" s="11" t="s">
        <v>568</v>
      </c>
      <c r="P124" s="11" t="s">
        <v>179</v>
      </c>
      <c r="Q124" s="11" t="s">
        <v>180</v>
      </c>
      <c r="R124" s="68">
        <v>45080</v>
      </c>
      <c r="S124" s="11" t="s">
        <v>146</v>
      </c>
      <c r="T124" s="11" t="s">
        <v>166</v>
      </c>
      <c r="U124" s="11">
        <v>85000</v>
      </c>
      <c r="V124" s="68">
        <v>45120</v>
      </c>
      <c r="W124" s="12">
        <f t="shared" si="55"/>
        <v>1</v>
      </c>
      <c r="X124" s="12">
        <f t="shared" si="56"/>
        <v>1</v>
      </c>
      <c r="Y124" s="12">
        <f t="shared" si="57"/>
        <v>1</v>
      </c>
      <c r="Z124" s="12">
        <f t="shared" si="58"/>
        <v>1</v>
      </c>
      <c r="AA124" s="12">
        <f t="shared" si="59"/>
        <v>1</v>
      </c>
      <c r="AB124" s="12">
        <f t="shared" si="60"/>
        <v>1</v>
      </c>
      <c r="AC124" s="12">
        <f t="shared" si="61"/>
        <v>1</v>
      </c>
      <c r="AD124" s="12">
        <f t="shared" si="80"/>
        <v>1</v>
      </c>
      <c r="AE124" s="12">
        <f t="shared" si="81"/>
        <v>1</v>
      </c>
      <c r="AF124" s="12">
        <f t="shared" si="82"/>
        <v>1</v>
      </c>
      <c r="AG124" s="12">
        <f t="shared" si="83"/>
        <v>1</v>
      </c>
      <c r="AH124" s="12">
        <f t="shared" si="84"/>
        <v>1</v>
      </c>
      <c r="AI124" s="12">
        <f t="shared" si="85"/>
        <v>1</v>
      </c>
      <c r="AJ124" s="12">
        <f t="shared" si="86"/>
        <v>1</v>
      </c>
      <c r="AK124" s="12">
        <f t="shared" si="87"/>
        <v>1</v>
      </c>
      <c r="AL124" s="12">
        <f t="shared" si="88"/>
        <v>1</v>
      </c>
      <c r="AM124" s="12">
        <f t="shared" si="62"/>
        <v>1</v>
      </c>
      <c r="AN124" s="12">
        <f t="shared" si="63"/>
        <v>1</v>
      </c>
      <c r="AO124" s="12">
        <f t="shared" si="64"/>
        <v>1</v>
      </c>
      <c r="AP124" s="12">
        <f t="shared" si="65"/>
        <v>1</v>
      </c>
      <c r="AQ124" s="12">
        <f t="shared" si="66"/>
        <v>1</v>
      </c>
      <c r="AR124" s="12">
        <f t="shared" si="67"/>
        <v>1</v>
      </c>
      <c r="AS124" s="12" cm="1">
        <f t="array" ref="AS124">IF(AND(H124&lt;&gt;"",SUMPRODUCT(--ISNUMBER(FIND({0;1;2;3;4;5;6;7;8;9},H124)))=0),1,0)</f>
        <v>1</v>
      </c>
      <c r="AT124" s="12" cm="1">
        <f t="array" ref="AT124">IF(AND(I124&lt;&gt;"",SUMPRODUCT(--ISNUMBER(FIND({0;1;2;3;4;5;6;7;8;9},I124)))=0),1,0)</f>
        <v>1</v>
      </c>
      <c r="AU124" s="12" cm="1">
        <f t="array" ref="AU124">IF(AND(J124&lt;&gt;"",SUMPRODUCT(--ISNUMBER(FIND({0;1;2;3;4;5;6;7;8;9},J124)))=0),1,0)</f>
        <v>1</v>
      </c>
      <c r="AV124" s="12">
        <f t="shared" si="89"/>
        <v>1</v>
      </c>
      <c r="AW124" s="12">
        <f t="shared" ca="1" si="68"/>
        <v>1</v>
      </c>
      <c r="AX124" s="12">
        <f t="shared" si="69"/>
        <v>1</v>
      </c>
      <c r="AY124" s="12">
        <f t="shared" si="70"/>
        <v>1</v>
      </c>
      <c r="AZ124" s="12">
        <f t="shared" si="71"/>
        <v>1</v>
      </c>
      <c r="BA124" s="12">
        <f t="shared" si="72"/>
        <v>1</v>
      </c>
      <c r="BB124" s="12">
        <f t="shared" si="73"/>
        <v>1</v>
      </c>
      <c r="BC124" s="12">
        <f t="shared" ca="1" si="74"/>
        <v>1</v>
      </c>
      <c r="BD124" s="12">
        <f t="shared" si="75"/>
        <v>1</v>
      </c>
      <c r="BE124" s="12">
        <f t="shared" si="76"/>
        <v>1</v>
      </c>
      <c r="BF124" s="12">
        <f t="shared" si="77"/>
        <v>1</v>
      </c>
      <c r="BG124" s="12">
        <f t="shared" ca="1" si="78"/>
        <v>1</v>
      </c>
    </row>
    <row r="125" spans="1:59" ht="15.75" customHeight="1" x14ac:dyDescent="0.2">
      <c r="A125" s="19">
        <f t="shared" si="52"/>
        <v>1</v>
      </c>
      <c r="B125" s="20">
        <f t="shared" si="53"/>
        <v>1</v>
      </c>
      <c r="C125" s="20">
        <f t="shared" ca="1" si="54"/>
        <v>1</v>
      </c>
      <c r="D125" s="50">
        <f t="shared" ca="1" si="79"/>
        <v>0</v>
      </c>
      <c r="E125" s="11" t="s">
        <v>569</v>
      </c>
      <c r="F125" s="11" t="s">
        <v>149</v>
      </c>
      <c r="G125" s="11">
        <v>1000000124</v>
      </c>
      <c r="H125" s="11" t="s">
        <v>138</v>
      </c>
      <c r="I125" s="11" t="s">
        <v>168</v>
      </c>
      <c r="J125" s="11" t="s">
        <v>168</v>
      </c>
      <c r="K125" s="11" t="s">
        <v>141</v>
      </c>
      <c r="L125" s="70">
        <v>25326</v>
      </c>
      <c r="M125" s="11" t="s">
        <v>570</v>
      </c>
      <c r="N125" s="11">
        <v>3393857256</v>
      </c>
      <c r="O125" s="11" t="s">
        <v>571</v>
      </c>
      <c r="P125" s="11" t="s">
        <v>165</v>
      </c>
      <c r="Q125" s="11" t="s">
        <v>156</v>
      </c>
      <c r="R125" s="68">
        <v>45866</v>
      </c>
      <c r="S125" s="11" t="s">
        <v>157</v>
      </c>
      <c r="T125" s="11" t="s">
        <v>147</v>
      </c>
      <c r="U125" s="11">
        <v>85000</v>
      </c>
      <c r="V125" s="68">
        <v>46096</v>
      </c>
      <c r="W125" s="12">
        <f t="shared" si="55"/>
        <v>1</v>
      </c>
      <c r="X125" s="12">
        <f t="shared" si="56"/>
        <v>1</v>
      </c>
      <c r="Y125" s="12">
        <f t="shared" si="57"/>
        <v>1</v>
      </c>
      <c r="Z125" s="12">
        <f t="shared" si="58"/>
        <v>1</v>
      </c>
      <c r="AA125" s="12">
        <f t="shared" si="59"/>
        <v>1</v>
      </c>
      <c r="AB125" s="12">
        <f t="shared" si="60"/>
        <v>1</v>
      </c>
      <c r="AC125" s="12">
        <f t="shared" si="61"/>
        <v>1</v>
      </c>
      <c r="AD125" s="12">
        <f t="shared" si="80"/>
        <v>1</v>
      </c>
      <c r="AE125" s="12">
        <f t="shared" si="81"/>
        <v>1</v>
      </c>
      <c r="AF125" s="12">
        <f t="shared" si="82"/>
        <v>1</v>
      </c>
      <c r="AG125" s="12">
        <f t="shared" si="83"/>
        <v>1</v>
      </c>
      <c r="AH125" s="12">
        <f t="shared" si="84"/>
        <v>1</v>
      </c>
      <c r="AI125" s="12">
        <f t="shared" si="85"/>
        <v>1</v>
      </c>
      <c r="AJ125" s="12">
        <f t="shared" si="86"/>
        <v>1</v>
      </c>
      <c r="AK125" s="12">
        <f t="shared" si="87"/>
        <v>1</v>
      </c>
      <c r="AL125" s="12">
        <f t="shared" si="88"/>
        <v>1</v>
      </c>
      <c r="AM125" s="12">
        <f t="shared" si="62"/>
        <v>1</v>
      </c>
      <c r="AN125" s="12">
        <f t="shared" si="63"/>
        <v>1</v>
      </c>
      <c r="AO125" s="12">
        <f t="shared" si="64"/>
        <v>1</v>
      </c>
      <c r="AP125" s="12">
        <f t="shared" si="65"/>
        <v>1</v>
      </c>
      <c r="AQ125" s="12">
        <f t="shared" si="66"/>
        <v>1</v>
      </c>
      <c r="AR125" s="12">
        <f t="shared" si="67"/>
        <v>1</v>
      </c>
      <c r="AS125" s="12" cm="1">
        <f t="array" ref="AS125">IF(AND(H125&lt;&gt;"",SUMPRODUCT(--ISNUMBER(FIND({0;1;2;3;4;5;6;7;8;9},H125)))=0),1,0)</f>
        <v>1</v>
      </c>
      <c r="AT125" s="12" cm="1">
        <f t="array" ref="AT125">IF(AND(I125&lt;&gt;"",SUMPRODUCT(--ISNUMBER(FIND({0;1;2;3;4;5;6;7;8;9},I125)))=0),1,0)</f>
        <v>1</v>
      </c>
      <c r="AU125" s="12" cm="1">
        <f t="array" ref="AU125">IF(AND(J125&lt;&gt;"",SUMPRODUCT(--ISNUMBER(FIND({0;1;2;3;4;5;6;7;8;9},J125)))=0),1,0)</f>
        <v>1</v>
      </c>
      <c r="AV125" s="12">
        <f t="shared" si="89"/>
        <v>1</v>
      </c>
      <c r="AW125" s="12">
        <f t="shared" ca="1" si="68"/>
        <v>1</v>
      </c>
      <c r="AX125" s="12">
        <f t="shared" si="69"/>
        <v>1</v>
      </c>
      <c r="AY125" s="12">
        <f t="shared" si="70"/>
        <v>1</v>
      </c>
      <c r="AZ125" s="12">
        <f t="shared" si="71"/>
        <v>1</v>
      </c>
      <c r="BA125" s="12">
        <f t="shared" si="72"/>
        <v>1</v>
      </c>
      <c r="BB125" s="12">
        <f t="shared" si="73"/>
        <v>1</v>
      </c>
      <c r="BC125" s="12">
        <f t="shared" ca="1" si="74"/>
        <v>1</v>
      </c>
      <c r="BD125" s="12">
        <f t="shared" si="75"/>
        <v>1</v>
      </c>
      <c r="BE125" s="12">
        <f t="shared" si="76"/>
        <v>1</v>
      </c>
      <c r="BF125" s="12">
        <f t="shared" si="77"/>
        <v>1</v>
      </c>
      <c r="BG125" s="12">
        <f t="shared" ca="1" si="78"/>
        <v>1</v>
      </c>
    </row>
    <row r="126" spans="1:59" ht="15.75" customHeight="1" x14ac:dyDescent="0.2">
      <c r="A126" s="19">
        <f t="shared" si="52"/>
        <v>1</v>
      </c>
      <c r="B126" s="20">
        <f t="shared" si="53"/>
        <v>1</v>
      </c>
      <c r="C126" s="20">
        <f t="shared" ca="1" si="54"/>
        <v>0</v>
      </c>
      <c r="D126" s="50">
        <f t="shared" ca="1" si="79"/>
        <v>1</v>
      </c>
      <c r="E126" s="11" t="s">
        <v>572</v>
      </c>
      <c r="F126" s="11" t="s">
        <v>137</v>
      </c>
      <c r="G126" s="11">
        <v>1000000125</v>
      </c>
      <c r="H126" s="11" t="s">
        <v>176</v>
      </c>
      <c r="I126" s="11" t="s">
        <v>152</v>
      </c>
      <c r="J126" s="11" t="s">
        <v>235</v>
      </c>
      <c r="K126" s="11" t="s">
        <v>141</v>
      </c>
      <c r="L126" s="70">
        <v>27868</v>
      </c>
      <c r="M126" s="11" t="s">
        <v>573</v>
      </c>
      <c r="N126" s="11">
        <v>3107900211</v>
      </c>
      <c r="O126" s="11" t="s">
        <v>574</v>
      </c>
      <c r="P126" s="11" t="s">
        <v>224</v>
      </c>
      <c r="Q126" s="11" t="s">
        <v>225</v>
      </c>
      <c r="R126" s="68">
        <v>46162</v>
      </c>
      <c r="S126" s="11" t="s">
        <v>146</v>
      </c>
      <c r="T126" s="11" t="s">
        <v>147</v>
      </c>
      <c r="U126" s="11">
        <v>90000</v>
      </c>
      <c r="V126" s="68">
        <v>46208</v>
      </c>
      <c r="W126" s="12">
        <f t="shared" si="55"/>
        <v>1</v>
      </c>
      <c r="X126" s="12">
        <f t="shared" si="56"/>
        <v>1</v>
      </c>
      <c r="Y126" s="12">
        <f t="shared" si="57"/>
        <v>1</v>
      </c>
      <c r="Z126" s="12">
        <f t="shared" si="58"/>
        <v>1</v>
      </c>
      <c r="AA126" s="12">
        <f t="shared" si="59"/>
        <v>1</v>
      </c>
      <c r="AB126" s="12">
        <f t="shared" si="60"/>
        <v>1</v>
      </c>
      <c r="AC126" s="12">
        <f t="shared" si="61"/>
        <v>1</v>
      </c>
      <c r="AD126" s="12">
        <f t="shared" si="80"/>
        <v>1</v>
      </c>
      <c r="AE126" s="12">
        <f t="shared" si="81"/>
        <v>1</v>
      </c>
      <c r="AF126" s="12">
        <f t="shared" si="82"/>
        <v>1</v>
      </c>
      <c r="AG126" s="12">
        <f t="shared" si="83"/>
        <v>1</v>
      </c>
      <c r="AH126" s="12">
        <f t="shared" si="84"/>
        <v>1</v>
      </c>
      <c r="AI126" s="12">
        <f t="shared" si="85"/>
        <v>1</v>
      </c>
      <c r="AJ126" s="12">
        <f t="shared" si="86"/>
        <v>1</v>
      </c>
      <c r="AK126" s="12">
        <f t="shared" si="87"/>
        <v>1</v>
      </c>
      <c r="AL126" s="12">
        <f t="shared" si="88"/>
        <v>1</v>
      </c>
      <c r="AM126" s="12">
        <f t="shared" si="62"/>
        <v>1</v>
      </c>
      <c r="AN126" s="12">
        <f t="shared" si="63"/>
        <v>1</v>
      </c>
      <c r="AO126" s="12">
        <f t="shared" si="64"/>
        <v>1</v>
      </c>
      <c r="AP126" s="12">
        <f t="shared" si="65"/>
        <v>1</v>
      </c>
      <c r="AQ126" s="12">
        <f t="shared" si="66"/>
        <v>1</v>
      </c>
      <c r="AR126" s="12">
        <f t="shared" si="67"/>
        <v>1</v>
      </c>
      <c r="AS126" s="12" cm="1">
        <f t="array" ref="AS126">IF(AND(H126&lt;&gt;"",SUMPRODUCT(--ISNUMBER(FIND({0;1;2;3;4;5;6;7;8;9},H126)))=0),1,0)</f>
        <v>1</v>
      </c>
      <c r="AT126" s="12" cm="1">
        <f t="array" ref="AT126">IF(AND(I126&lt;&gt;"",SUMPRODUCT(--ISNUMBER(FIND({0;1;2;3;4;5;6;7;8;9},I126)))=0),1,0)</f>
        <v>1</v>
      </c>
      <c r="AU126" s="12" cm="1">
        <f t="array" ref="AU126">IF(AND(J126&lt;&gt;"",SUMPRODUCT(--ISNUMBER(FIND({0;1;2;3;4;5;6;7;8;9},J126)))=0),1,0)</f>
        <v>1</v>
      </c>
      <c r="AV126" s="12">
        <f t="shared" si="89"/>
        <v>1</v>
      </c>
      <c r="AW126" s="12">
        <f t="shared" ca="1" si="68"/>
        <v>1</v>
      </c>
      <c r="AX126" s="12">
        <f t="shared" si="69"/>
        <v>1</v>
      </c>
      <c r="AY126" s="12">
        <f t="shared" si="70"/>
        <v>1</v>
      </c>
      <c r="AZ126" s="12">
        <f t="shared" si="71"/>
        <v>1</v>
      </c>
      <c r="BA126" s="12">
        <f t="shared" si="72"/>
        <v>1</v>
      </c>
      <c r="BB126" s="12">
        <f t="shared" si="73"/>
        <v>1</v>
      </c>
      <c r="BC126" s="12">
        <f t="shared" ca="1" si="74"/>
        <v>1</v>
      </c>
      <c r="BD126" s="12">
        <f t="shared" si="75"/>
        <v>1</v>
      </c>
      <c r="BE126" s="12">
        <f t="shared" si="76"/>
        <v>1</v>
      </c>
      <c r="BF126" s="12">
        <f t="shared" si="77"/>
        <v>1</v>
      </c>
      <c r="BG126" s="12">
        <f t="shared" ca="1" si="78"/>
        <v>0</v>
      </c>
    </row>
    <row r="127" spans="1:59" ht="15.75" customHeight="1" x14ac:dyDescent="0.2">
      <c r="A127" s="19">
        <f t="shared" si="52"/>
        <v>1</v>
      </c>
      <c r="B127" s="20">
        <f t="shared" si="53"/>
        <v>1</v>
      </c>
      <c r="C127" s="20">
        <f t="shared" ca="1" si="54"/>
        <v>1</v>
      </c>
      <c r="D127" s="50">
        <f t="shared" ca="1" si="79"/>
        <v>0</v>
      </c>
      <c r="E127" s="11" t="s">
        <v>575</v>
      </c>
      <c r="F127" s="11" t="s">
        <v>149</v>
      </c>
      <c r="G127" s="11">
        <v>1000000126</v>
      </c>
      <c r="H127" s="11" t="s">
        <v>274</v>
      </c>
      <c r="I127" s="11" t="s">
        <v>162</v>
      </c>
      <c r="J127" s="11" t="s">
        <v>184</v>
      </c>
      <c r="K127" s="11" t="s">
        <v>141</v>
      </c>
      <c r="L127" s="70">
        <v>28172</v>
      </c>
      <c r="M127" s="11" t="s">
        <v>576</v>
      </c>
      <c r="N127" s="11">
        <v>3602647634</v>
      </c>
      <c r="O127" s="11" t="s">
        <v>577</v>
      </c>
      <c r="P127" s="11" t="s">
        <v>172</v>
      </c>
      <c r="Q127" s="11" t="s">
        <v>173</v>
      </c>
      <c r="R127" s="68">
        <v>45533</v>
      </c>
      <c r="S127" s="11" t="s">
        <v>146</v>
      </c>
      <c r="T127" s="11" t="s">
        <v>147</v>
      </c>
      <c r="U127" s="11">
        <v>85000</v>
      </c>
      <c r="V127" s="68">
        <v>45804</v>
      </c>
      <c r="W127" s="12">
        <f t="shared" si="55"/>
        <v>1</v>
      </c>
      <c r="X127" s="12">
        <f t="shared" si="56"/>
        <v>1</v>
      </c>
      <c r="Y127" s="12">
        <f t="shared" si="57"/>
        <v>1</v>
      </c>
      <c r="Z127" s="12">
        <f t="shared" si="58"/>
        <v>1</v>
      </c>
      <c r="AA127" s="12">
        <f t="shared" si="59"/>
        <v>1</v>
      </c>
      <c r="AB127" s="12">
        <f t="shared" si="60"/>
        <v>1</v>
      </c>
      <c r="AC127" s="12">
        <f t="shared" si="61"/>
        <v>1</v>
      </c>
      <c r="AD127" s="12">
        <f t="shared" si="80"/>
        <v>1</v>
      </c>
      <c r="AE127" s="12">
        <f t="shared" si="81"/>
        <v>1</v>
      </c>
      <c r="AF127" s="12">
        <f t="shared" si="82"/>
        <v>1</v>
      </c>
      <c r="AG127" s="12">
        <f t="shared" si="83"/>
        <v>1</v>
      </c>
      <c r="AH127" s="12">
        <f t="shared" si="84"/>
        <v>1</v>
      </c>
      <c r="AI127" s="12">
        <f t="shared" si="85"/>
        <v>1</v>
      </c>
      <c r="AJ127" s="12">
        <f t="shared" si="86"/>
        <v>1</v>
      </c>
      <c r="AK127" s="12">
        <f t="shared" si="87"/>
        <v>1</v>
      </c>
      <c r="AL127" s="12">
        <f t="shared" si="88"/>
        <v>1</v>
      </c>
      <c r="AM127" s="12">
        <f t="shared" si="62"/>
        <v>1</v>
      </c>
      <c r="AN127" s="12">
        <f t="shared" si="63"/>
        <v>1</v>
      </c>
      <c r="AO127" s="12">
        <f t="shared" si="64"/>
        <v>1</v>
      </c>
      <c r="AP127" s="12">
        <f t="shared" si="65"/>
        <v>1</v>
      </c>
      <c r="AQ127" s="12">
        <f t="shared" si="66"/>
        <v>1</v>
      </c>
      <c r="AR127" s="12">
        <f t="shared" si="67"/>
        <v>1</v>
      </c>
      <c r="AS127" s="12" cm="1">
        <f t="array" ref="AS127">IF(AND(H127&lt;&gt;"",SUMPRODUCT(--ISNUMBER(FIND({0;1;2;3;4;5;6;7;8;9},H127)))=0),1,0)</f>
        <v>1</v>
      </c>
      <c r="AT127" s="12" cm="1">
        <f t="array" ref="AT127">IF(AND(I127&lt;&gt;"",SUMPRODUCT(--ISNUMBER(FIND({0;1;2;3;4;5;6;7;8;9},I127)))=0),1,0)</f>
        <v>1</v>
      </c>
      <c r="AU127" s="12" cm="1">
        <f t="array" ref="AU127">IF(AND(J127&lt;&gt;"",SUMPRODUCT(--ISNUMBER(FIND({0;1;2;3;4;5;6;7;8;9},J127)))=0),1,0)</f>
        <v>1</v>
      </c>
      <c r="AV127" s="12">
        <f t="shared" si="89"/>
        <v>1</v>
      </c>
      <c r="AW127" s="12">
        <f t="shared" ca="1" si="68"/>
        <v>1</v>
      </c>
      <c r="AX127" s="12">
        <f t="shared" si="69"/>
        <v>1</v>
      </c>
      <c r="AY127" s="12">
        <f t="shared" si="70"/>
        <v>1</v>
      </c>
      <c r="AZ127" s="12">
        <f t="shared" si="71"/>
        <v>1</v>
      </c>
      <c r="BA127" s="12">
        <f t="shared" si="72"/>
        <v>1</v>
      </c>
      <c r="BB127" s="12">
        <f t="shared" si="73"/>
        <v>1</v>
      </c>
      <c r="BC127" s="12">
        <f t="shared" ca="1" si="74"/>
        <v>1</v>
      </c>
      <c r="BD127" s="12">
        <f t="shared" si="75"/>
        <v>1</v>
      </c>
      <c r="BE127" s="12">
        <f t="shared" si="76"/>
        <v>1</v>
      </c>
      <c r="BF127" s="12">
        <f t="shared" si="77"/>
        <v>1</v>
      </c>
      <c r="BG127" s="12">
        <f t="shared" ca="1" si="78"/>
        <v>1</v>
      </c>
    </row>
    <row r="128" spans="1:59" ht="15.75" customHeight="1" x14ac:dyDescent="0.2">
      <c r="A128" s="19">
        <f t="shared" si="52"/>
        <v>1</v>
      </c>
      <c r="B128" s="20">
        <f t="shared" si="53"/>
        <v>1</v>
      </c>
      <c r="C128" s="20">
        <f t="shared" ca="1" si="54"/>
        <v>1</v>
      </c>
      <c r="D128" s="50">
        <f t="shared" ca="1" si="79"/>
        <v>0</v>
      </c>
      <c r="E128" s="11" t="s">
        <v>578</v>
      </c>
      <c r="F128" s="11" t="s">
        <v>137</v>
      </c>
      <c r="G128" s="11">
        <v>1000000127</v>
      </c>
      <c r="H128" s="11" t="s">
        <v>193</v>
      </c>
      <c r="I128" s="11" t="s">
        <v>162</v>
      </c>
      <c r="J128" s="11" t="s">
        <v>139</v>
      </c>
      <c r="K128" s="11" t="s">
        <v>185</v>
      </c>
      <c r="L128" s="70">
        <v>26360</v>
      </c>
      <c r="M128" s="11" t="s">
        <v>579</v>
      </c>
      <c r="N128" s="11">
        <v>3202334316</v>
      </c>
      <c r="O128" s="11" t="s">
        <v>580</v>
      </c>
      <c r="P128" s="11" t="s">
        <v>172</v>
      </c>
      <c r="Q128" s="11" t="s">
        <v>173</v>
      </c>
      <c r="R128" s="68">
        <v>45812</v>
      </c>
      <c r="S128" s="11" t="s">
        <v>157</v>
      </c>
      <c r="T128" s="11" t="s">
        <v>147</v>
      </c>
      <c r="U128" s="11">
        <v>90000</v>
      </c>
      <c r="V128" s="68">
        <v>46143</v>
      </c>
      <c r="W128" s="12">
        <f t="shared" si="55"/>
        <v>1</v>
      </c>
      <c r="X128" s="12">
        <f t="shared" si="56"/>
        <v>1</v>
      </c>
      <c r="Y128" s="12">
        <f t="shared" si="57"/>
        <v>1</v>
      </c>
      <c r="Z128" s="12">
        <f t="shared" si="58"/>
        <v>1</v>
      </c>
      <c r="AA128" s="12">
        <f t="shared" si="59"/>
        <v>1</v>
      </c>
      <c r="AB128" s="12">
        <f t="shared" si="60"/>
        <v>1</v>
      </c>
      <c r="AC128" s="12">
        <f t="shared" si="61"/>
        <v>1</v>
      </c>
      <c r="AD128" s="12">
        <f t="shared" si="80"/>
        <v>1</v>
      </c>
      <c r="AE128" s="12">
        <f t="shared" si="81"/>
        <v>1</v>
      </c>
      <c r="AF128" s="12">
        <f t="shared" si="82"/>
        <v>1</v>
      </c>
      <c r="AG128" s="12">
        <f t="shared" si="83"/>
        <v>1</v>
      </c>
      <c r="AH128" s="12">
        <f t="shared" si="84"/>
        <v>1</v>
      </c>
      <c r="AI128" s="12">
        <f t="shared" si="85"/>
        <v>1</v>
      </c>
      <c r="AJ128" s="12">
        <f t="shared" si="86"/>
        <v>1</v>
      </c>
      <c r="AK128" s="12">
        <f t="shared" si="87"/>
        <v>1</v>
      </c>
      <c r="AL128" s="12">
        <f t="shared" si="88"/>
        <v>1</v>
      </c>
      <c r="AM128" s="12">
        <f t="shared" si="62"/>
        <v>1</v>
      </c>
      <c r="AN128" s="12">
        <f t="shared" si="63"/>
        <v>1</v>
      </c>
      <c r="AO128" s="12">
        <f t="shared" si="64"/>
        <v>1</v>
      </c>
      <c r="AP128" s="12">
        <f t="shared" si="65"/>
        <v>1</v>
      </c>
      <c r="AQ128" s="12">
        <f t="shared" si="66"/>
        <v>1</v>
      </c>
      <c r="AR128" s="12">
        <f t="shared" si="67"/>
        <v>1</v>
      </c>
      <c r="AS128" s="12" cm="1">
        <f t="array" ref="AS128">IF(AND(H128&lt;&gt;"",SUMPRODUCT(--ISNUMBER(FIND({0;1;2;3;4;5;6;7;8;9},H128)))=0),1,0)</f>
        <v>1</v>
      </c>
      <c r="AT128" s="12" cm="1">
        <f t="array" ref="AT128">IF(AND(I128&lt;&gt;"",SUMPRODUCT(--ISNUMBER(FIND({0;1;2;3;4;5;6;7;8;9},I128)))=0),1,0)</f>
        <v>1</v>
      </c>
      <c r="AU128" s="12" cm="1">
        <f t="array" ref="AU128">IF(AND(J128&lt;&gt;"",SUMPRODUCT(--ISNUMBER(FIND({0;1;2;3;4;5;6;7;8;9},J128)))=0),1,0)</f>
        <v>1</v>
      </c>
      <c r="AV128" s="12">
        <f t="shared" si="89"/>
        <v>1</v>
      </c>
      <c r="AW128" s="12">
        <f t="shared" ca="1" si="68"/>
        <v>1</v>
      </c>
      <c r="AX128" s="12">
        <f t="shared" si="69"/>
        <v>1</v>
      </c>
      <c r="AY128" s="12">
        <f t="shared" si="70"/>
        <v>1</v>
      </c>
      <c r="AZ128" s="12">
        <f t="shared" si="71"/>
        <v>1</v>
      </c>
      <c r="BA128" s="12">
        <f t="shared" si="72"/>
        <v>1</v>
      </c>
      <c r="BB128" s="12">
        <f t="shared" si="73"/>
        <v>1</v>
      </c>
      <c r="BC128" s="12">
        <f t="shared" ca="1" si="74"/>
        <v>1</v>
      </c>
      <c r="BD128" s="12">
        <f t="shared" si="75"/>
        <v>1</v>
      </c>
      <c r="BE128" s="12">
        <f t="shared" si="76"/>
        <v>1</v>
      </c>
      <c r="BF128" s="12">
        <f t="shared" si="77"/>
        <v>1</v>
      </c>
      <c r="BG128" s="12">
        <f t="shared" ca="1" si="78"/>
        <v>1</v>
      </c>
    </row>
    <row r="129" spans="1:59" ht="15.75" customHeight="1" x14ac:dyDescent="0.2">
      <c r="A129" s="19">
        <f t="shared" si="52"/>
        <v>1</v>
      </c>
      <c r="B129" s="20">
        <f t="shared" si="53"/>
        <v>1</v>
      </c>
      <c r="C129" s="20">
        <f t="shared" ca="1" si="54"/>
        <v>1</v>
      </c>
      <c r="D129" s="50">
        <f t="shared" ca="1" si="79"/>
        <v>0</v>
      </c>
      <c r="E129" s="11" t="s">
        <v>581</v>
      </c>
      <c r="F129" s="11" t="s">
        <v>137</v>
      </c>
      <c r="G129" s="11">
        <v>1000000128</v>
      </c>
      <c r="H129" s="11" t="s">
        <v>281</v>
      </c>
      <c r="I129" s="11" t="s">
        <v>195</v>
      </c>
      <c r="J129" s="11" t="s">
        <v>152</v>
      </c>
      <c r="K129" s="11" t="s">
        <v>185</v>
      </c>
      <c r="L129" s="70">
        <v>36264</v>
      </c>
      <c r="M129" s="11" t="s">
        <v>582</v>
      </c>
      <c r="N129" s="11">
        <v>3953816887</v>
      </c>
      <c r="O129" s="11" t="s">
        <v>583</v>
      </c>
      <c r="P129" s="11" t="s">
        <v>179</v>
      </c>
      <c r="Q129" s="11" t="s">
        <v>180</v>
      </c>
      <c r="R129" s="68">
        <v>45794</v>
      </c>
      <c r="S129" s="11" t="s">
        <v>146</v>
      </c>
      <c r="T129" s="11" t="s">
        <v>147</v>
      </c>
      <c r="U129" s="11">
        <v>95000</v>
      </c>
      <c r="V129" s="68">
        <v>45812</v>
      </c>
      <c r="W129" s="12">
        <f t="shared" si="55"/>
        <v>1</v>
      </c>
      <c r="X129" s="12">
        <f t="shared" si="56"/>
        <v>1</v>
      </c>
      <c r="Y129" s="12">
        <f t="shared" si="57"/>
        <v>1</v>
      </c>
      <c r="Z129" s="12">
        <f t="shared" si="58"/>
        <v>1</v>
      </c>
      <c r="AA129" s="12">
        <f t="shared" si="59"/>
        <v>1</v>
      </c>
      <c r="AB129" s="12">
        <f t="shared" si="60"/>
        <v>1</v>
      </c>
      <c r="AC129" s="12">
        <f t="shared" si="61"/>
        <v>1</v>
      </c>
      <c r="AD129" s="12">
        <f t="shared" si="80"/>
        <v>1</v>
      </c>
      <c r="AE129" s="12">
        <f t="shared" si="81"/>
        <v>1</v>
      </c>
      <c r="AF129" s="12">
        <f t="shared" si="82"/>
        <v>1</v>
      </c>
      <c r="AG129" s="12">
        <f t="shared" si="83"/>
        <v>1</v>
      </c>
      <c r="AH129" s="12">
        <f t="shared" si="84"/>
        <v>1</v>
      </c>
      <c r="AI129" s="12">
        <f t="shared" si="85"/>
        <v>1</v>
      </c>
      <c r="AJ129" s="12">
        <f t="shared" si="86"/>
        <v>1</v>
      </c>
      <c r="AK129" s="12">
        <f t="shared" si="87"/>
        <v>1</v>
      </c>
      <c r="AL129" s="12">
        <f t="shared" si="88"/>
        <v>1</v>
      </c>
      <c r="AM129" s="12">
        <f t="shared" si="62"/>
        <v>1</v>
      </c>
      <c r="AN129" s="12">
        <f t="shared" si="63"/>
        <v>1</v>
      </c>
      <c r="AO129" s="12">
        <f t="shared" si="64"/>
        <v>1</v>
      </c>
      <c r="AP129" s="12">
        <f t="shared" si="65"/>
        <v>1</v>
      </c>
      <c r="AQ129" s="12">
        <f t="shared" si="66"/>
        <v>1</v>
      </c>
      <c r="AR129" s="12">
        <f t="shared" si="67"/>
        <v>1</v>
      </c>
      <c r="AS129" s="12" cm="1">
        <f t="array" ref="AS129">IF(AND(H129&lt;&gt;"",SUMPRODUCT(--ISNUMBER(FIND({0;1;2;3;4;5;6;7;8;9},H129)))=0),1,0)</f>
        <v>1</v>
      </c>
      <c r="AT129" s="12" cm="1">
        <f t="array" ref="AT129">IF(AND(I129&lt;&gt;"",SUMPRODUCT(--ISNUMBER(FIND({0;1;2;3;4;5;6;7;8;9},I129)))=0),1,0)</f>
        <v>1</v>
      </c>
      <c r="AU129" s="12" cm="1">
        <f t="array" ref="AU129">IF(AND(J129&lt;&gt;"",SUMPRODUCT(--ISNUMBER(FIND({0;1;2;3;4;5;6;7;8;9},J129)))=0),1,0)</f>
        <v>1</v>
      </c>
      <c r="AV129" s="12">
        <f t="shared" si="89"/>
        <v>1</v>
      </c>
      <c r="AW129" s="12">
        <f t="shared" ca="1" si="68"/>
        <v>1</v>
      </c>
      <c r="AX129" s="12">
        <f t="shared" si="69"/>
        <v>1</v>
      </c>
      <c r="AY129" s="12">
        <f t="shared" si="70"/>
        <v>1</v>
      </c>
      <c r="AZ129" s="12">
        <f t="shared" si="71"/>
        <v>1</v>
      </c>
      <c r="BA129" s="12">
        <f t="shared" si="72"/>
        <v>1</v>
      </c>
      <c r="BB129" s="12">
        <f t="shared" si="73"/>
        <v>1</v>
      </c>
      <c r="BC129" s="12">
        <f t="shared" ca="1" si="74"/>
        <v>1</v>
      </c>
      <c r="BD129" s="12">
        <f t="shared" si="75"/>
        <v>1</v>
      </c>
      <c r="BE129" s="12">
        <f t="shared" si="76"/>
        <v>1</v>
      </c>
      <c r="BF129" s="12">
        <f t="shared" si="77"/>
        <v>1</v>
      </c>
      <c r="BG129" s="12">
        <f t="shared" ca="1" si="78"/>
        <v>1</v>
      </c>
    </row>
    <row r="130" spans="1:59" ht="15.75" customHeight="1" x14ac:dyDescent="0.2">
      <c r="A130" s="19">
        <f t="shared" si="52"/>
        <v>1</v>
      </c>
      <c r="B130" s="20">
        <f t="shared" si="53"/>
        <v>1</v>
      </c>
      <c r="C130" s="20">
        <f t="shared" ca="1" si="54"/>
        <v>1</v>
      </c>
      <c r="D130" s="50">
        <f t="shared" ca="1" si="79"/>
        <v>0</v>
      </c>
      <c r="E130" s="11" t="s">
        <v>584</v>
      </c>
      <c r="F130" s="11" t="s">
        <v>137</v>
      </c>
      <c r="G130" s="11">
        <v>1000000129</v>
      </c>
      <c r="H130" s="11" t="s">
        <v>220</v>
      </c>
      <c r="I130" s="11" t="s">
        <v>169</v>
      </c>
      <c r="J130" s="11" t="s">
        <v>231</v>
      </c>
      <c r="K130" s="11" t="s">
        <v>141</v>
      </c>
      <c r="L130" s="70">
        <v>27036</v>
      </c>
      <c r="M130" s="11" t="s">
        <v>585</v>
      </c>
      <c r="N130" s="11">
        <v>3707173429</v>
      </c>
      <c r="O130" s="11" t="s">
        <v>586</v>
      </c>
      <c r="P130" s="11" t="s">
        <v>144</v>
      </c>
      <c r="Q130" s="11" t="s">
        <v>145</v>
      </c>
      <c r="R130" s="68">
        <v>45060</v>
      </c>
      <c r="S130" s="11" t="s">
        <v>146</v>
      </c>
      <c r="T130" s="11" t="s">
        <v>147</v>
      </c>
      <c r="U130" s="11">
        <v>95000</v>
      </c>
      <c r="V130" s="68">
        <v>45109</v>
      </c>
      <c r="W130" s="12">
        <f t="shared" si="55"/>
        <v>1</v>
      </c>
      <c r="X130" s="12">
        <f t="shared" si="56"/>
        <v>1</v>
      </c>
      <c r="Y130" s="12">
        <f t="shared" si="57"/>
        <v>1</v>
      </c>
      <c r="Z130" s="12">
        <f t="shared" si="58"/>
        <v>1</v>
      </c>
      <c r="AA130" s="12">
        <f t="shared" si="59"/>
        <v>1</v>
      </c>
      <c r="AB130" s="12">
        <f t="shared" si="60"/>
        <v>1</v>
      </c>
      <c r="AC130" s="12">
        <f t="shared" si="61"/>
        <v>1</v>
      </c>
      <c r="AD130" s="12">
        <f t="shared" si="80"/>
        <v>1</v>
      </c>
      <c r="AE130" s="12">
        <f t="shared" si="81"/>
        <v>1</v>
      </c>
      <c r="AF130" s="12">
        <f t="shared" si="82"/>
        <v>1</v>
      </c>
      <c r="AG130" s="12">
        <f t="shared" si="83"/>
        <v>1</v>
      </c>
      <c r="AH130" s="12">
        <f t="shared" si="84"/>
        <v>1</v>
      </c>
      <c r="AI130" s="12">
        <f t="shared" si="85"/>
        <v>1</v>
      </c>
      <c r="AJ130" s="12">
        <f t="shared" si="86"/>
        <v>1</v>
      </c>
      <c r="AK130" s="12">
        <f t="shared" si="87"/>
        <v>1</v>
      </c>
      <c r="AL130" s="12">
        <f t="shared" si="88"/>
        <v>1</v>
      </c>
      <c r="AM130" s="12">
        <f t="shared" si="62"/>
        <v>1</v>
      </c>
      <c r="AN130" s="12">
        <f t="shared" si="63"/>
        <v>1</v>
      </c>
      <c r="AO130" s="12">
        <f t="shared" si="64"/>
        <v>1</v>
      </c>
      <c r="AP130" s="12">
        <f t="shared" si="65"/>
        <v>1</v>
      </c>
      <c r="AQ130" s="12">
        <f t="shared" si="66"/>
        <v>1</v>
      </c>
      <c r="AR130" s="12">
        <f t="shared" si="67"/>
        <v>1</v>
      </c>
      <c r="AS130" s="12" cm="1">
        <f t="array" ref="AS130">IF(AND(H130&lt;&gt;"",SUMPRODUCT(--ISNUMBER(FIND({0;1;2;3;4;5;6;7;8;9},H130)))=0),1,0)</f>
        <v>1</v>
      </c>
      <c r="AT130" s="12" cm="1">
        <f t="array" ref="AT130">IF(AND(I130&lt;&gt;"",SUMPRODUCT(--ISNUMBER(FIND({0;1;2;3;4;5;6;7;8;9},I130)))=0),1,0)</f>
        <v>1</v>
      </c>
      <c r="AU130" s="12" cm="1">
        <f t="array" ref="AU130">IF(AND(J130&lt;&gt;"",SUMPRODUCT(--ISNUMBER(FIND({0;1;2;3;4;5;6;7;8;9},J130)))=0),1,0)</f>
        <v>1</v>
      </c>
      <c r="AV130" s="12">
        <f t="shared" si="89"/>
        <v>1</v>
      </c>
      <c r="AW130" s="12">
        <f t="shared" ca="1" si="68"/>
        <v>1</v>
      </c>
      <c r="AX130" s="12">
        <f t="shared" si="69"/>
        <v>1</v>
      </c>
      <c r="AY130" s="12">
        <f t="shared" si="70"/>
        <v>1</v>
      </c>
      <c r="AZ130" s="12">
        <f t="shared" si="71"/>
        <v>1</v>
      </c>
      <c r="BA130" s="12">
        <f t="shared" si="72"/>
        <v>1</v>
      </c>
      <c r="BB130" s="12">
        <f t="shared" si="73"/>
        <v>1</v>
      </c>
      <c r="BC130" s="12">
        <f t="shared" ca="1" si="74"/>
        <v>1</v>
      </c>
      <c r="BD130" s="12">
        <f t="shared" si="75"/>
        <v>1</v>
      </c>
      <c r="BE130" s="12">
        <f t="shared" si="76"/>
        <v>1</v>
      </c>
      <c r="BF130" s="12">
        <f t="shared" si="77"/>
        <v>1</v>
      </c>
      <c r="BG130" s="12">
        <f t="shared" ca="1" si="78"/>
        <v>1</v>
      </c>
    </row>
    <row r="131" spans="1:59" ht="15.75" customHeight="1" x14ac:dyDescent="0.2">
      <c r="A131" s="19">
        <f t="shared" ref="A131:A194" si="90">IF(AND(W131=1,X131=1),1,0)</f>
        <v>1</v>
      </c>
      <c r="B131" s="20">
        <f t="shared" ref="B131:B194" si="91">IF(AND(Y131=1,Z131=1,AA131=1,AB131=1,AC131=1,AD131=1,AE131=1,AF131=1,AG131=1,AH131=1,AI131=1,AJ131=1,AK131=1,AL131=1,AM131=1,AN131=1,AO131=1),1,0)</f>
        <v>1</v>
      </c>
      <c r="C131" s="20">
        <f t="shared" ref="C131:C194" ca="1" si="92">IF(AND(AP131=1,AQ131=1,AR131=1,AS131=1,AT131=1,AU131=1,AV131=1,AW131=1,AX131=1,AY131=1,AZ131=1,BA131=1,BB131=1,BC131=1,BD131=1,BE131=1,BF131=1,BG131=1),1,0)</f>
        <v>1</v>
      </c>
      <c r="D131" s="50">
        <f t="shared" ca="1" si="79"/>
        <v>0</v>
      </c>
      <c r="E131" s="11" t="s">
        <v>587</v>
      </c>
      <c r="F131" s="11" t="s">
        <v>149</v>
      </c>
      <c r="G131" s="11">
        <v>1000000130</v>
      </c>
      <c r="H131" s="11" t="s">
        <v>211</v>
      </c>
      <c r="I131" s="11" t="s">
        <v>139</v>
      </c>
      <c r="J131" s="11" t="s">
        <v>168</v>
      </c>
      <c r="K131" s="11" t="s">
        <v>141</v>
      </c>
      <c r="L131" s="70">
        <v>35275</v>
      </c>
      <c r="M131" s="11" t="s">
        <v>588</v>
      </c>
      <c r="N131" s="11">
        <v>3431584634</v>
      </c>
      <c r="O131" s="11" t="s">
        <v>589</v>
      </c>
      <c r="P131" s="11" t="s">
        <v>144</v>
      </c>
      <c r="Q131" s="11" t="s">
        <v>145</v>
      </c>
      <c r="R131" s="68">
        <v>45714</v>
      </c>
      <c r="S131" s="11" t="s">
        <v>146</v>
      </c>
      <c r="T131" s="11" t="s">
        <v>158</v>
      </c>
      <c r="U131" s="11">
        <v>85000</v>
      </c>
      <c r="V131" s="68">
        <v>45985</v>
      </c>
      <c r="W131" s="12">
        <f t="shared" ref="W131:W194" si="93">IF(COUNTIF(E$2:E$201,E131)&gt;1,0,1)</f>
        <v>1</v>
      </c>
      <c r="X131" s="12">
        <f t="shared" ref="X131:X194" si="94">IF(COUNTIF(G$2:G$201,G131)&gt;1,0,1)</f>
        <v>1</v>
      </c>
      <c r="Y131" s="12">
        <f t="shared" ref="Y131:Y194" si="95">IF(E131="",0,1)</f>
        <v>1</v>
      </c>
      <c r="Z131" s="12">
        <f t="shared" ref="Z131:Z194" si="96">IF(F131="",0,1)</f>
        <v>1</v>
      </c>
      <c r="AA131" s="12">
        <f t="shared" ref="AA131:AA194" si="97">IF(G131="",0,1)</f>
        <v>1</v>
      </c>
      <c r="AB131" s="12">
        <f t="shared" ref="AB131:AB194" si="98">IF(H131="",0,1)</f>
        <v>1</v>
      </c>
      <c r="AC131" s="12">
        <f t="shared" ref="AC131:AC194" si="99">IF(I131="",0,1)</f>
        <v>1</v>
      </c>
      <c r="AD131" s="12">
        <f t="shared" si="80"/>
        <v>1</v>
      </c>
      <c r="AE131" s="12">
        <f t="shared" si="81"/>
        <v>1</v>
      </c>
      <c r="AF131" s="12">
        <f t="shared" si="82"/>
        <v>1</v>
      </c>
      <c r="AG131" s="12">
        <f t="shared" si="83"/>
        <v>1</v>
      </c>
      <c r="AH131" s="12">
        <f t="shared" si="84"/>
        <v>1</v>
      </c>
      <c r="AI131" s="12">
        <f t="shared" si="85"/>
        <v>1</v>
      </c>
      <c r="AJ131" s="12">
        <f t="shared" si="86"/>
        <v>1</v>
      </c>
      <c r="AK131" s="12">
        <f t="shared" si="87"/>
        <v>1</v>
      </c>
      <c r="AL131" s="12">
        <f t="shared" si="88"/>
        <v>1</v>
      </c>
      <c r="AM131" s="12">
        <f t="shared" ref="AM131:AM194" si="100">IF(T131="",0,1)</f>
        <v>1</v>
      </c>
      <c r="AN131" s="12">
        <f t="shared" ref="AN131:AN194" si="101">IF(U131="",0,1)</f>
        <v>1</v>
      </c>
      <c r="AO131" s="12">
        <f t="shared" ref="AO131:AO194" si="102">IF(V131="",0,1)</f>
        <v>1</v>
      </c>
      <c r="AP131" s="12">
        <f t="shared" ref="AP131:AP194" si="103">IF(AND(LEFT(E131,2)="AF",LEN(E131)=6),1,0)</f>
        <v>1</v>
      </c>
      <c r="AQ131" s="12">
        <f t="shared" ref="AQ131:AQ194" si="104">IF(OR(F131="CC",F131="CE",F131="TI",F131="PAS"),1,0)</f>
        <v>1</v>
      </c>
      <c r="AR131" s="12">
        <f t="shared" ref="AR131:AR194" si="105">IF(AND(ISNUMBER(G131),COUNTIF($G:$G,G131)=1),1,0)</f>
        <v>1</v>
      </c>
      <c r="AS131" s="12" cm="1">
        <f t="array" ref="AS131">IF(AND(H131&lt;&gt;"",SUMPRODUCT(--ISNUMBER(FIND({0;1;2;3;4;5;6;7;8;9},H131)))=0),1,0)</f>
        <v>1</v>
      </c>
      <c r="AT131" s="12" cm="1">
        <f t="array" ref="AT131">IF(AND(I131&lt;&gt;"",SUMPRODUCT(--ISNUMBER(FIND({0;1;2;3;4;5;6;7;8;9},I131)))=0),1,0)</f>
        <v>1</v>
      </c>
      <c r="AU131" s="12" cm="1">
        <f t="array" ref="AU131">IF(AND(J131&lt;&gt;"",SUMPRODUCT(--ISNUMBER(FIND({0;1;2;3;4;5;6;7;8;9},J131)))=0),1,0)</f>
        <v>1</v>
      </c>
      <c r="AV131" s="12">
        <f t="shared" si="89"/>
        <v>1</v>
      </c>
      <c r="AW131" s="12">
        <f t="shared" ref="AW131:AW194" ca="1" si="106">IF(AND(ISNUMBER(L131),L131&lt;=TODAY()),1,0)</f>
        <v>1</v>
      </c>
      <c r="AX131" s="12">
        <f t="shared" ref="AX131:AX194" si="107">IF(AND(ISNUMBER(SEARCH("@",M131)),ISNUMBER(SEARCH(".",M131,SEARCH("@",M131)+2)),NOT(ISNUMBER(SEARCH(" ",M131)))),1,0)</f>
        <v>1</v>
      </c>
      <c r="AY131" s="12">
        <f t="shared" ref="AY131:AY194" si="108">IF(AND(ISNUMBER(N131),LEN(N131)=10),1,0)</f>
        <v>1</v>
      </c>
      <c r="AZ131" s="12">
        <f t="shared" ref="AZ131:AZ194" si="109">IF(LEN(TRIM(O131))&gt;=10,1,0)</f>
        <v>1</v>
      </c>
      <c r="BA131" s="12">
        <f t="shared" ref="BA131:BA194" si="110">IF(OR(ISBLANK(O131),O131=""),1,IF(ISTEXT(O131),1,0))</f>
        <v>1</v>
      </c>
      <c r="BB131" s="12">
        <f t="shared" ref="BB131:BB194" si="111">IF(OR(ISBLANK(P131),P131=""),1,IF(ISTEXT(P131),1,0))</f>
        <v>1</v>
      </c>
      <c r="BC131" s="12">
        <f t="shared" ref="BC131:BC194" ca="1" si="112">IF(AND(ISNUMBER(R131),R131&lt;=TODAY()),1,0)</f>
        <v>1</v>
      </c>
      <c r="BD131" s="12">
        <f t="shared" ref="BD131:BD194" si="113">IF(OR(ISBLANK(S131),S131=""),1,IF(ISTEXT(S131),1,0))</f>
        <v>1</v>
      </c>
      <c r="BE131" s="12">
        <f t="shared" ref="BE131:BE194" si="114">IF(OR(ISBLANK(T131),T131=""),1,IF(ISTEXT(T131),1,0))</f>
        <v>1</v>
      </c>
      <c r="BF131" s="12">
        <f t="shared" ref="BF131:BF194" si="115">IF(AND(ISNUMBER(U131),U131&gt;0),1,0)</f>
        <v>1</v>
      </c>
      <c r="BG131" s="12">
        <f t="shared" ref="BG131:BG194" ca="1" si="116">IF(AND(ISNUMBER(V131),V131&lt;=TODAY()),1,0)</f>
        <v>1</v>
      </c>
    </row>
    <row r="132" spans="1:59" ht="15.75" customHeight="1" x14ac:dyDescent="0.2">
      <c r="A132" s="19">
        <f t="shared" si="90"/>
        <v>1</v>
      </c>
      <c r="B132" s="20">
        <f t="shared" si="91"/>
        <v>1</v>
      </c>
      <c r="C132" s="20">
        <f t="shared" ca="1" si="92"/>
        <v>1</v>
      </c>
      <c r="D132" s="50">
        <f t="shared" ca="1" si="79"/>
        <v>0</v>
      </c>
      <c r="E132" s="11" t="s">
        <v>590</v>
      </c>
      <c r="F132" s="11" t="s">
        <v>137</v>
      </c>
      <c r="G132" s="11">
        <v>1000000131</v>
      </c>
      <c r="H132" s="11" t="s">
        <v>161</v>
      </c>
      <c r="I132" s="11" t="s">
        <v>183</v>
      </c>
      <c r="J132" s="11" t="s">
        <v>256</v>
      </c>
      <c r="K132" s="11" t="s">
        <v>141</v>
      </c>
      <c r="L132" s="70">
        <v>29558</v>
      </c>
      <c r="M132" s="11" t="s">
        <v>591</v>
      </c>
      <c r="N132" s="11">
        <v>3915873105</v>
      </c>
      <c r="O132" s="11" t="s">
        <v>592</v>
      </c>
      <c r="P132" s="11" t="s">
        <v>172</v>
      </c>
      <c r="Q132" s="11" t="s">
        <v>173</v>
      </c>
      <c r="R132" s="68">
        <v>45851</v>
      </c>
      <c r="S132" s="11" t="s">
        <v>157</v>
      </c>
      <c r="T132" s="11" t="s">
        <v>147</v>
      </c>
      <c r="U132" s="11">
        <v>75000</v>
      </c>
      <c r="V132" s="68">
        <v>46064</v>
      </c>
      <c r="W132" s="12">
        <f t="shared" si="93"/>
        <v>1</v>
      </c>
      <c r="X132" s="12">
        <f t="shared" si="94"/>
        <v>1</v>
      </c>
      <c r="Y132" s="12">
        <f t="shared" si="95"/>
        <v>1</v>
      </c>
      <c r="Z132" s="12">
        <f t="shared" si="96"/>
        <v>1</v>
      </c>
      <c r="AA132" s="12">
        <f t="shared" si="97"/>
        <v>1</v>
      </c>
      <c r="AB132" s="12">
        <f t="shared" si="98"/>
        <v>1</v>
      </c>
      <c r="AC132" s="12">
        <f t="shared" si="99"/>
        <v>1</v>
      </c>
      <c r="AD132" s="12">
        <f t="shared" si="80"/>
        <v>1</v>
      </c>
      <c r="AE132" s="12">
        <f t="shared" si="81"/>
        <v>1</v>
      </c>
      <c r="AF132" s="12">
        <f t="shared" si="82"/>
        <v>1</v>
      </c>
      <c r="AG132" s="12">
        <f t="shared" si="83"/>
        <v>1</v>
      </c>
      <c r="AH132" s="12">
        <f t="shared" si="84"/>
        <v>1</v>
      </c>
      <c r="AI132" s="12">
        <f t="shared" si="85"/>
        <v>1</v>
      </c>
      <c r="AJ132" s="12">
        <f t="shared" si="86"/>
        <v>1</v>
      </c>
      <c r="AK132" s="12">
        <f t="shared" si="87"/>
        <v>1</v>
      </c>
      <c r="AL132" s="12">
        <f t="shared" si="88"/>
        <v>1</v>
      </c>
      <c r="AM132" s="12">
        <f t="shared" si="100"/>
        <v>1</v>
      </c>
      <c r="AN132" s="12">
        <f t="shared" si="101"/>
        <v>1</v>
      </c>
      <c r="AO132" s="12">
        <f t="shared" si="102"/>
        <v>1</v>
      </c>
      <c r="AP132" s="12">
        <f t="shared" si="103"/>
        <v>1</v>
      </c>
      <c r="AQ132" s="12">
        <f t="shared" si="104"/>
        <v>1</v>
      </c>
      <c r="AR132" s="12">
        <f t="shared" si="105"/>
        <v>1</v>
      </c>
      <c r="AS132" s="12" cm="1">
        <f t="array" ref="AS132">IF(AND(H132&lt;&gt;"",SUMPRODUCT(--ISNUMBER(FIND({0;1;2;3;4;5;6;7;8;9},H132)))=0),1,0)</f>
        <v>1</v>
      </c>
      <c r="AT132" s="12" cm="1">
        <f t="array" ref="AT132">IF(AND(I132&lt;&gt;"",SUMPRODUCT(--ISNUMBER(FIND({0;1;2;3;4;5;6;7;8;9},I132)))=0),1,0)</f>
        <v>1</v>
      </c>
      <c r="AU132" s="12" cm="1">
        <f t="array" ref="AU132">IF(AND(J132&lt;&gt;"",SUMPRODUCT(--ISNUMBER(FIND({0;1;2;3;4;5;6;7;8;9},J132)))=0),1,0)</f>
        <v>1</v>
      </c>
      <c r="AV132" s="12">
        <f t="shared" si="89"/>
        <v>1</v>
      </c>
      <c r="AW132" s="12">
        <f t="shared" ca="1" si="106"/>
        <v>1</v>
      </c>
      <c r="AX132" s="12">
        <f t="shared" si="107"/>
        <v>1</v>
      </c>
      <c r="AY132" s="12">
        <f t="shared" si="108"/>
        <v>1</v>
      </c>
      <c r="AZ132" s="12">
        <f t="shared" si="109"/>
        <v>1</v>
      </c>
      <c r="BA132" s="12">
        <f t="shared" si="110"/>
        <v>1</v>
      </c>
      <c r="BB132" s="12">
        <f t="shared" si="111"/>
        <v>1</v>
      </c>
      <c r="BC132" s="12">
        <f t="shared" ca="1" si="112"/>
        <v>1</v>
      </c>
      <c r="BD132" s="12">
        <f t="shared" si="113"/>
        <v>1</v>
      </c>
      <c r="BE132" s="12">
        <f t="shared" si="114"/>
        <v>1</v>
      </c>
      <c r="BF132" s="12">
        <f t="shared" si="115"/>
        <v>1</v>
      </c>
      <c r="BG132" s="12">
        <f t="shared" ca="1" si="116"/>
        <v>1</v>
      </c>
    </row>
    <row r="133" spans="1:59" ht="15.75" customHeight="1" x14ac:dyDescent="0.2">
      <c r="A133" s="19">
        <f t="shared" si="90"/>
        <v>1</v>
      </c>
      <c r="B133" s="20">
        <f t="shared" si="91"/>
        <v>1</v>
      </c>
      <c r="C133" s="20">
        <f t="shared" ca="1" si="92"/>
        <v>1</v>
      </c>
      <c r="D133" s="50">
        <f t="shared" ca="1" si="79"/>
        <v>0</v>
      </c>
      <c r="E133" s="11" t="s">
        <v>593</v>
      </c>
      <c r="F133" s="11" t="s">
        <v>160</v>
      </c>
      <c r="G133" s="11">
        <v>1000000132</v>
      </c>
      <c r="H133" s="11" t="s">
        <v>138</v>
      </c>
      <c r="I133" s="11" t="s">
        <v>162</v>
      </c>
      <c r="J133" s="11" t="s">
        <v>140</v>
      </c>
      <c r="K133" s="11" t="s">
        <v>141</v>
      </c>
      <c r="L133" s="70">
        <v>28910</v>
      </c>
      <c r="M133" s="11" t="s">
        <v>594</v>
      </c>
      <c r="N133" s="11">
        <v>3382819980</v>
      </c>
      <c r="O133" s="11" t="s">
        <v>595</v>
      </c>
      <c r="P133" s="11" t="s">
        <v>144</v>
      </c>
      <c r="Q133" s="11" t="s">
        <v>145</v>
      </c>
      <c r="R133" s="68">
        <v>45813</v>
      </c>
      <c r="S133" s="11" t="s">
        <v>146</v>
      </c>
      <c r="T133" s="11" t="s">
        <v>158</v>
      </c>
      <c r="U133" s="11">
        <v>90000</v>
      </c>
      <c r="V133" s="68">
        <v>45897</v>
      </c>
      <c r="W133" s="12">
        <f t="shared" si="93"/>
        <v>1</v>
      </c>
      <c r="X133" s="12">
        <f t="shared" si="94"/>
        <v>1</v>
      </c>
      <c r="Y133" s="12">
        <f t="shared" si="95"/>
        <v>1</v>
      </c>
      <c r="Z133" s="12">
        <f t="shared" si="96"/>
        <v>1</v>
      </c>
      <c r="AA133" s="12">
        <f t="shared" si="97"/>
        <v>1</v>
      </c>
      <c r="AB133" s="12">
        <f t="shared" si="98"/>
        <v>1</v>
      </c>
      <c r="AC133" s="12">
        <f t="shared" si="99"/>
        <v>1</v>
      </c>
      <c r="AD133" s="12">
        <f t="shared" si="80"/>
        <v>1</v>
      </c>
      <c r="AE133" s="12">
        <f t="shared" si="81"/>
        <v>1</v>
      </c>
      <c r="AF133" s="12">
        <f t="shared" si="82"/>
        <v>1</v>
      </c>
      <c r="AG133" s="12">
        <f t="shared" si="83"/>
        <v>1</v>
      </c>
      <c r="AH133" s="12">
        <f t="shared" si="84"/>
        <v>1</v>
      </c>
      <c r="AI133" s="12">
        <f t="shared" si="85"/>
        <v>1</v>
      </c>
      <c r="AJ133" s="12">
        <f t="shared" si="86"/>
        <v>1</v>
      </c>
      <c r="AK133" s="12">
        <f t="shared" si="87"/>
        <v>1</v>
      </c>
      <c r="AL133" s="12">
        <f t="shared" si="88"/>
        <v>1</v>
      </c>
      <c r="AM133" s="12">
        <f t="shared" si="100"/>
        <v>1</v>
      </c>
      <c r="AN133" s="12">
        <f t="shared" si="101"/>
        <v>1</v>
      </c>
      <c r="AO133" s="12">
        <f t="shared" si="102"/>
        <v>1</v>
      </c>
      <c r="AP133" s="12">
        <f t="shared" si="103"/>
        <v>1</v>
      </c>
      <c r="AQ133" s="12">
        <f t="shared" si="104"/>
        <v>1</v>
      </c>
      <c r="AR133" s="12">
        <f t="shared" si="105"/>
        <v>1</v>
      </c>
      <c r="AS133" s="12" cm="1">
        <f t="array" ref="AS133">IF(AND(H133&lt;&gt;"",SUMPRODUCT(--ISNUMBER(FIND({0;1;2;3;4;5;6;7;8;9},H133)))=0),1,0)</f>
        <v>1</v>
      </c>
      <c r="AT133" s="12" cm="1">
        <f t="array" ref="AT133">IF(AND(I133&lt;&gt;"",SUMPRODUCT(--ISNUMBER(FIND({0;1;2;3;4;5;6;7;8;9},I133)))=0),1,0)</f>
        <v>1</v>
      </c>
      <c r="AU133" s="12" cm="1">
        <f t="array" ref="AU133">IF(AND(J133&lt;&gt;"",SUMPRODUCT(--ISNUMBER(FIND({0;1;2;3;4;5;6;7;8;9},J133)))=0),1,0)</f>
        <v>1</v>
      </c>
      <c r="AV133" s="12">
        <f t="shared" si="89"/>
        <v>1</v>
      </c>
      <c r="AW133" s="12">
        <f t="shared" ca="1" si="106"/>
        <v>1</v>
      </c>
      <c r="AX133" s="12">
        <f t="shared" si="107"/>
        <v>1</v>
      </c>
      <c r="AY133" s="12">
        <f t="shared" si="108"/>
        <v>1</v>
      </c>
      <c r="AZ133" s="12">
        <f t="shared" si="109"/>
        <v>1</v>
      </c>
      <c r="BA133" s="12">
        <f t="shared" si="110"/>
        <v>1</v>
      </c>
      <c r="BB133" s="12">
        <f t="shared" si="111"/>
        <v>1</v>
      </c>
      <c r="BC133" s="12">
        <f t="shared" ca="1" si="112"/>
        <v>1</v>
      </c>
      <c r="BD133" s="12">
        <f t="shared" si="113"/>
        <v>1</v>
      </c>
      <c r="BE133" s="12">
        <f t="shared" si="114"/>
        <v>1</v>
      </c>
      <c r="BF133" s="12">
        <f t="shared" si="115"/>
        <v>1</v>
      </c>
      <c r="BG133" s="12">
        <f t="shared" ca="1" si="116"/>
        <v>1</v>
      </c>
    </row>
    <row r="134" spans="1:59" ht="15.75" customHeight="1" x14ac:dyDescent="0.2">
      <c r="A134" s="19">
        <f t="shared" si="90"/>
        <v>1</v>
      </c>
      <c r="B134" s="20">
        <f t="shared" si="91"/>
        <v>1</v>
      </c>
      <c r="C134" s="20">
        <f t="shared" ca="1" si="92"/>
        <v>1</v>
      </c>
      <c r="D134" s="50">
        <f t="shared" ca="1" si="79"/>
        <v>0</v>
      </c>
      <c r="E134" s="11" t="s">
        <v>596</v>
      </c>
      <c r="F134" s="11" t="s">
        <v>160</v>
      </c>
      <c r="G134" s="11">
        <v>1000000133</v>
      </c>
      <c r="H134" s="11" t="s">
        <v>274</v>
      </c>
      <c r="I134" s="11" t="s">
        <v>139</v>
      </c>
      <c r="J134" s="11" t="s">
        <v>227</v>
      </c>
      <c r="K134" s="11" t="s">
        <v>141</v>
      </c>
      <c r="L134" s="70">
        <v>36161</v>
      </c>
      <c r="M134" s="11" t="s">
        <v>597</v>
      </c>
      <c r="N134" s="11">
        <v>3781065768</v>
      </c>
      <c r="O134" s="11" t="s">
        <v>598</v>
      </c>
      <c r="P134" s="11" t="s">
        <v>172</v>
      </c>
      <c r="Q134" s="11" t="s">
        <v>173</v>
      </c>
      <c r="R134" s="68">
        <v>44574</v>
      </c>
      <c r="S134" s="11" t="s">
        <v>157</v>
      </c>
      <c r="T134" s="11" t="s">
        <v>158</v>
      </c>
      <c r="U134" s="11">
        <v>90000</v>
      </c>
      <c r="V134" s="68">
        <v>44724</v>
      </c>
      <c r="W134" s="12">
        <f t="shared" si="93"/>
        <v>1</v>
      </c>
      <c r="X134" s="12">
        <f t="shared" si="94"/>
        <v>1</v>
      </c>
      <c r="Y134" s="12">
        <f t="shared" si="95"/>
        <v>1</v>
      </c>
      <c r="Z134" s="12">
        <f t="shared" si="96"/>
        <v>1</v>
      </c>
      <c r="AA134" s="12">
        <f t="shared" si="97"/>
        <v>1</v>
      </c>
      <c r="AB134" s="12">
        <f t="shared" si="98"/>
        <v>1</v>
      </c>
      <c r="AC134" s="12">
        <f t="shared" si="99"/>
        <v>1</v>
      </c>
      <c r="AD134" s="12">
        <f t="shared" si="80"/>
        <v>1</v>
      </c>
      <c r="AE134" s="12">
        <f t="shared" si="81"/>
        <v>1</v>
      </c>
      <c r="AF134" s="12">
        <f t="shared" si="82"/>
        <v>1</v>
      </c>
      <c r="AG134" s="12">
        <f t="shared" si="83"/>
        <v>1</v>
      </c>
      <c r="AH134" s="12">
        <f t="shared" si="84"/>
        <v>1</v>
      </c>
      <c r="AI134" s="12">
        <f t="shared" si="85"/>
        <v>1</v>
      </c>
      <c r="AJ134" s="12">
        <f t="shared" si="86"/>
        <v>1</v>
      </c>
      <c r="AK134" s="12">
        <f t="shared" si="87"/>
        <v>1</v>
      </c>
      <c r="AL134" s="12">
        <f t="shared" si="88"/>
        <v>1</v>
      </c>
      <c r="AM134" s="12">
        <f t="shared" si="100"/>
        <v>1</v>
      </c>
      <c r="AN134" s="12">
        <f t="shared" si="101"/>
        <v>1</v>
      </c>
      <c r="AO134" s="12">
        <f t="shared" si="102"/>
        <v>1</v>
      </c>
      <c r="AP134" s="12">
        <f t="shared" si="103"/>
        <v>1</v>
      </c>
      <c r="AQ134" s="12">
        <f t="shared" si="104"/>
        <v>1</v>
      </c>
      <c r="AR134" s="12">
        <f t="shared" si="105"/>
        <v>1</v>
      </c>
      <c r="AS134" s="12" cm="1">
        <f t="array" ref="AS134">IF(AND(H134&lt;&gt;"",SUMPRODUCT(--ISNUMBER(FIND({0;1;2;3;4;5;6;7;8;9},H134)))=0),1,0)</f>
        <v>1</v>
      </c>
      <c r="AT134" s="12" cm="1">
        <f t="array" ref="AT134">IF(AND(I134&lt;&gt;"",SUMPRODUCT(--ISNUMBER(FIND({0;1;2;3;4;5;6;7;8;9},I134)))=0),1,0)</f>
        <v>1</v>
      </c>
      <c r="AU134" s="12" cm="1">
        <f t="array" ref="AU134">IF(AND(J134&lt;&gt;"",SUMPRODUCT(--ISNUMBER(FIND({0;1;2;3;4;5;6;7;8;9},J134)))=0),1,0)</f>
        <v>1</v>
      </c>
      <c r="AV134" s="12">
        <f t="shared" si="89"/>
        <v>1</v>
      </c>
      <c r="AW134" s="12">
        <f t="shared" ca="1" si="106"/>
        <v>1</v>
      </c>
      <c r="AX134" s="12">
        <f t="shared" si="107"/>
        <v>1</v>
      </c>
      <c r="AY134" s="12">
        <f t="shared" si="108"/>
        <v>1</v>
      </c>
      <c r="AZ134" s="12">
        <f t="shared" si="109"/>
        <v>1</v>
      </c>
      <c r="BA134" s="12">
        <f t="shared" si="110"/>
        <v>1</v>
      </c>
      <c r="BB134" s="12">
        <f t="shared" si="111"/>
        <v>1</v>
      </c>
      <c r="BC134" s="12">
        <f t="shared" ca="1" si="112"/>
        <v>1</v>
      </c>
      <c r="BD134" s="12">
        <f t="shared" si="113"/>
        <v>1</v>
      </c>
      <c r="BE134" s="12">
        <f t="shared" si="114"/>
        <v>1</v>
      </c>
      <c r="BF134" s="12">
        <f t="shared" si="115"/>
        <v>1</v>
      </c>
      <c r="BG134" s="12">
        <f t="shared" ca="1" si="116"/>
        <v>1</v>
      </c>
    </row>
    <row r="135" spans="1:59" ht="15.75" customHeight="1" x14ac:dyDescent="0.2">
      <c r="A135" s="19">
        <f t="shared" si="90"/>
        <v>1</v>
      </c>
      <c r="B135" s="20">
        <f t="shared" si="91"/>
        <v>1</v>
      </c>
      <c r="C135" s="20">
        <f t="shared" ca="1" si="92"/>
        <v>1</v>
      </c>
      <c r="D135" s="50">
        <f t="shared" ca="1" si="79"/>
        <v>0</v>
      </c>
      <c r="E135" s="11" t="s">
        <v>599</v>
      </c>
      <c r="F135" s="11" t="s">
        <v>160</v>
      </c>
      <c r="G135" s="11">
        <v>1000000134</v>
      </c>
      <c r="H135" s="11" t="s">
        <v>386</v>
      </c>
      <c r="I135" s="11" t="s">
        <v>183</v>
      </c>
      <c r="J135" s="11" t="s">
        <v>168</v>
      </c>
      <c r="K135" s="11" t="s">
        <v>141</v>
      </c>
      <c r="L135" s="70">
        <v>24929</v>
      </c>
      <c r="M135" s="11" t="s">
        <v>600</v>
      </c>
      <c r="N135" s="11">
        <v>3883073744</v>
      </c>
      <c r="O135" s="11" t="s">
        <v>601</v>
      </c>
      <c r="P135" s="11" t="s">
        <v>179</v>
      </c>
      <c r="Q135" s="11" t="s">
        <v>180</v>
      </c>
      <c r="R135" s="68">
        <v>45070</v>
      </c>
      <c r="S135" s="11" t="s">
        <v>146</v>
      </c>
      <c r="T135" s="11" t="s">
        <v>158</v>
      </c>
      <c r="U135" s="11">
        <v>95000</v>
      </c>
      <c r="V135" s="68">
        <v>45232</v>
      </c>
      <c r="W135" s="12">
        <f t="shared" si="93"/>
        <v>1</v>
      </c>
      <c r="X135" s="12">
        <f t="shared" si="94"/>
        <v>1</v>
      </c>
      <c r="Y135" s="12">
        <f t="shared" si="95"/>
        <v>1</v>
      </c>
      <c r="Z135" s="12">
        <f t="shared" si="96"/>
        <v>1</v>
      </c>
      <c r="AA135" s="12">
        <f t="shared" si="97"/>
        <v>1</v>
      </c>
      <c r="AB135" s="12">
        <f t="shared" si="98"/>
        <v>1</v>
      </c>
      <c r="AC135" s="12">
        <f t="shared" si="99"/>
        <v>1</v>
      </c>
      <c r="AD135" s="12">
        <f t="shared" si="80"/>
        <v>1</v>
      </c>
      <c r="AE135" s="12">
        <f t="shared" si="81"/>
        <v>1</v>
      </c>
      <c r="AF135" s="12">
        <f t="shared" si="82"/>
        <v>1</v>
      </c>
      <c r="AG135" s="12">
        <f t="shared" si="83"/>
        <v>1</v>
      </c>
      <c r="AH135" s="12">
        <f t="shared" si="84"/>
        <v>1</v>
      </c>
      <c r="AI135" s="12">
        <f t="shared" si="85"/>
        <v>1</v>
      </c>
      <c r="AJ135" s="12">
        <f t="shared" si="86"/>
        <v>1</v>
      </c>
      <c r="AK135" s="12">
        <f t="shared" si="87"/>
        <v>1</v>
      </c>
      <c r="AL135" s="12">
        <f t="shared" si="88"/>
        <v>1</v>
      </c>
      <c r="AM135" s="12">
        <f t="shared" si="100"/>
        <v>1</v>
      </c>
      <c r="AN135" s="12">
        <f t="shared" si="101"/>
        <v>1</v>
      </c>
      <c r="AO135" s="12">
        <f t="shared" si="102"/>
        <v>1</v>
      </c>
      <c r="AP135" s="12">
        <f t="shared" si="103"/>
        <v>1</v>
      </c>
      <c r="AQ135" s="12">
        <f t="shared" si="104"/>
        <v>1</v>
      </c>
      <c r="AR135" s="12">
        <f t="shared" si="105"/>
        <v>1</v>
      </c>
      <c r="AS135" s="12" cm="1">
        <f t="array" ref="AS135">IF(AND(H135&lt;&gt;"",SUMPRODUCT(--ISNUMBER(FIND({0;1;2;3;4;5;6;7;8;9},H135)))=0),1,0)</f>
        <v>1</v>
      </c>
      <c r="AT135" s="12" cm="1">
        <f t="array" ref="AT135">IF(AND(I135&lt;&gt;"",SUMPRODUCT(--ISNUMBER(FIND({0;1;2;3;4;5;6;7;8;9},I135)))=0),1,0)</f>
        <v>1</v>
      </c>
      <c r="AU135" s="12" cm="1">
        <f t="array" ref="AU135">IF(AND(J135&lt;&gt;"",SUMPRODUCT(--ISNUMBER(FIND({0;1;2;3;4;5;6;7;8;9},J135)))=0),1,0)</f>
        <v>1</v>
      </c>
      <c r="AV135" s="12">
        <f t="shared" si="89"/>
        <v>1</v>
      </c>
      <c r="AW135" s="12">
        <f t="shared" ca="1" si="106"/>
        <v>1</v>
      </c>
      <c r="AX135" s="12">
        <f t="shared" si="107"/>
        <v>1</v>
      </c>
      <c r="AY135" s="12">
        <f t="shared" si="108"/>
        <v>1</v>
      </c>
      <c r="AZ135" s="12">
        <f t="shared" si="109"/>
        <v>1</v>
      </c>
      <c r="BA135" s="12">
        <f t="shared" si="110"/>
        <v>1</v>
      </c>
      <c r="BB135" s="12">
        <f t="shared" si="111"/>
        <v>1</v>
      </c>
      <c r="BC135" s="12">
        <f t="shared" ca="1" si="112"/>
        <v>1</v>
      </c>
      <c r="BD135" s="12">
        <f t="shared" si="113"/>
        <v>1</v>
      </c>
      <c r="BE135" s="12">
        <f t="shared" si="114"/>
        <v>1</v>
      </c>
      <c r="BF135" s="12">
        <f t="shared" si="115"/>
        <v>1</v>
      </c>
      <c r="BG135" s="12">
        <f t="shared" ca="1" si="116"/>
        <v>1</v>
      </c>
    </row>
    <row r="136" spans="1:59" ht="15.75" customHeight="1" x14ac:dyDescent="0.2">
      <c r="A136" s="19">
        <f t="shared" si="90"/>
        <v>1</v>
      </c>
      <c r="B136" s="20">
        <f t="shared" si="91"/>
        <v>1</v>
      </c>
      <c r="C136" s="20">
        <f t="shared" ca="1" si="92"/>
        <v>1</v>
      </c>
      <c r="D136" s="50">
        <f t="shared" ca="1" si="79"/>
        <v>0</v>
      </c>
      <c r="E136" s="11" t="s">
        <v>602</v>
      </c>
      <c r="F136" s="11" t="s">
        <v>137</v>
      </c>
      <c r="G136" s="11">
        <v>1000000135</v>
      </c>
      <c r="H136" s="11" t="s">
        <v>255</v>
      </c>
      <c r="I136" s="11" t="s">
        <v>168</v>
      </c>
      <c r="J136" s="11" t="s">
        <v>152</v>
      </c>
      <c r="K136" s="11" t="s">
        <v>141</v>
      </c>
      <c r="L136" s="70">
        <v>27959</v>
      </c>
      <c r="M136" s="11" t="s">
        <v>603</v>
      </c>
      <c r="N136" s="11">
        <v>3537876372</v>
      </c>
      <c r="O136" s="11" t="s">
        <v>604</v>
      </c>
      <c r="P136" s="11" t="s">
        <v>155</v>
      </c>
      <c r="Q136" s="11" t="s">
        <v>156</v>
      </c>
      <c r="R136" s="68">
        <v>44986</v>
      </c>
      <c r="S136" s="11" t="s">
        <v>157</v>
      </c>
      <c r="T136" s="11" t="s">
        <v>158</v>
      </c>
      <c r="U136" s="11">
        <v>75000</v>
      </c>
      <c r="V136" s="68">
        <v>45158</v>
      </c>
      <c r="W136" s="12">
        <f t="shared" si="93"/>
        <v>1</v>
      </c>
      <c r="X136" s="12">
        <f t="shared" si="94"/>
        <v>1</v>
      </c>
      <c r="Y136" s="12">
        <f t="shared" si="95"/>
        <v>1</v>
      </c>
      <c r="Z136" s="12">
        <f t="shared" si="96"/>
        <v>1</v>
      </c>
      <c r="AA136" s="12">
        <f t="shared" si="97"/>
        <v>1</v>
      </c>
      <c r="AB136" s="12">
        <f t="shared" si="98"/>
        <v>1</v>
      </c>
      <c r="AC136" s="12">
        <f t="shared" si="99"/>
        <v>1</v>
      </c>
      <c r="AD136" s="12">
        <f t="shared" si="80"/>
        <v>1</v>
      </c>
      <c r="AE136" s="12">
        <f t="shared" si="81"/>
        <v>1</v>
      </c>
      <c r="AF136" s="12">
        <f t="shared" si="82"/>
        <v>1</v>
      </c>
      <c r="AG136" s="12">
        <f t="shared" si="83"/>
        <v>1</v>
      </c>
      <c r="AH136" s="12">
        <f t="shared" si="84"/>
        <v>1</v>
      </c>
      <c r="AI136" s="12">
        <f t="shared" si="85"/>
        <v>1</v>
      </c>
      <c r="AJ136" s="12">
        <f t="shared" si="86"/>
        <v>1</v>
      </c>
      <c r="AK136" s="12">
        <f t="shared" si="87"/>
        <v>1</v>
      </c>
      <c r="AL136" s="12">
        <f t="shared" si="88"/>
        <v>1</v>
      </c>
      <c r="AM136" s="12">
        <f t="shared" si="100"/>
        <v>1</v>
      </c>
      <c r="AN136" s="12">
        <f t="shared" si="101"/>
        <v>1</v>
      </c>
      <c r="AO136" s="12">
        <f t="shared" si="102"/>
        <v>1</v>
      </c>
      <c r="AP136" s="12">
        <f t="shared" si="103"/>
        <v>1</v>
      </c>
      <c r="AQ136" s="12">
        <f t="shared" si="104"/>
        <v>1</v>
      </c>
      <c r="AR136" s="12">
        <f t="shared" si="105"/>
        <v>1</v>
      </c>
      <c r="AS136" s="12" cm="1">
        <f t="array" ref="AS136">IF(AND(H136&lt;&gt;"",SUMPRODUCT(--ISNUMBER(FIND({0;1;2;3;4;5;6;7;8;9},H136)))=0),1,0)</f>
        <v>1</v>
      </c>
      <c r="AT136" s="12" cm="1">
        <f t="array" ref="AT136">IF(AND(I136&lt;&gt;"",SUMPRODUCT(--ISNUMBER(FIND({0;1;2;3;4;5;6;7;8;9},I136)))=0),1,0)</f>
        <v>1</v>
      </c>
      <c r="AU136" s="12" cm="1">
        <f t="array" ref="AU136">IF(AND(J136&lt;&gt;"",SUMPRODUCT(--ISNUMBER(FIND({0;1;2;3;4;5;6;7;8;9},J136)))=0),1,0)</f>
        <v>1</v>
      </c>
      <c r="AV136" s="12">
        <f t="shared" si="89"/>
        <v>1</v>
      </c>
      <c r="AW136" s="12">
        <f t="shared" ca="1" si="106"/>
        <v>1</v>
      </c>
      <c r="AX136" s="12">
        <f t="shared" si="107"/>
        <v>1</v>
      </c>
      <c r="AY136" s="12">
        <f t="shared" si="108"/>
        <v>1</v>
      </c>
      <c r="AZ136" s="12">
        <f t="shared" si="109"/>
        <v>1</v>
      </c>
      <c r="BA136" s="12">
        <f t="shared" si="110"/>
        <v>1</v>
      </c>
      <c r="BB136" s="12">
        <f t="shared" si="111"/>
        <v>1</v>
      </c>
      <c r="BC136" s="12">
        <f t="shared" ca="1" si="112"/>
        <v>1</v>
      </c>
      <c r="BD136" s="12">
        <f t="shared" si="113"/>
        <v>1</v>
      </c>
      <c r="BE136" s="12">
        <f t="shared" si="114"/>
        <v>1</v>
      </c>
      <c r="BF136" s="12">
        <f t="shared" si="115"/>
        <v>1</v>
      </c>
      <c r="BG136" s="12">
        <f t="shared" ca="1" si="116"/>
        <v>1</v>
      </c>
    </row>
    <row r="137" spans="1:59" ht="15.75" customHeight="1" x14ac:dyDescent="0.2">
      <c r="A137" s="19">
        <f t="shared" si="90"/>
        <v>1</v>
      </c>
      <c r="B137" s="20">
        <f t="shared" si="91"/>
        <v>1</v>
      </c>
      <c r="C137" s="20">
        <f t="shared" ca="1" si="92"/>
        <v>1</v>
      </c>
      <c r="D137" s="50">
        <f t="shared" ca="1" si="79"/>
        <v>0</v>
      </c>
      <c r="E137" s="11" t="s">
        <v>605</v>
      </c>
      <c r="F137" s="11" t="s">
        <v>137</v>
      </c>
      <c r="G137" s="11">
        <v>1000000136</v>
      </c>
      <c r="H137" s="11" t="s">
        <v>161</v>
      </c>
      <c r="I137" s="11" t="s">
        <v>256</v>
      </c>
      <c r="J137" s="11" t="s">
        <v>152</v>
      </c>
      <c r="K137" s="11" t="s">
        <v>141</v>
      </c>
      <c r="L137" s="70">
        <v>34867</v>
      </c>
      <c r="M137" s="11" t="s">
        <v>606</v>
      </c>
      <c r="N137" s="11">
        <v>3346059714</v>
      </c>
      <c r="O137" s="11" t="s">
        <v>607</v>
      </c>
      <c r="P137" s="11" t="s">
        <v>248</v>
      </c>
      <c r="Q137" s="11" t="s">
        <v>249</v>
      </c>
      <c r="R137" s="68">
        <v>44648</v>
      </c>
      <c r="S137" s="11" t="s">
        <v>157</v>
      </c>
      <c r="T137" s="11" t="s">
        <v>158</v>
      </c>
      <c r="U137" s="11">
        <v>95000</v>
      </c>
      <c r="V137" s="68">
        <v>44739</v>
      </c>
      <c r="W137" s="12">
        <f t="shared" si="93"/>
        <v>1</v>
      </c>
      <c r="X137" s="12">
        <f t="shared" si="94"/>
        <v>1</v>
      </c>
      <c r="Y137" s="12">
        <f t="shared" si="95"/>
        <v>1</v>
      </c>
      <c r="Z137" s="12">
        <f t="shared" si="96"/>
        <v>1</v>
      </c>
      <c r="AA137" s="12">
        <f t="shared" si="97"/>
        <v>1</v>
      </c>
      <c r="AB137" s="12">
        <f t="shared" si="98"/>
        <v>1</v>
      </c>
      <c r="AC137" s="12">
        <f t="shared" si="99"/>
        <v>1</v>
      </c>
      <c r="AD137" s="12">
        <f t="shared" si="80"/>
        <v>1</v>
      </c>
      <c r="AE137" s="12">
        <f t="shared" si="81"/>
        <v>1</v>
      </c>
      <c r="AF137" s="12">
        <f t="shared" si="82"/>
        <v>1</v>
      </c>
      <c r="AG137" s="12">
        <f t="shared" si="83"/>
        <v>1</v>
      </c>
      <c r="AH137" s="12">
        <f t="shared" si="84"/>
        <v>1</v>
      </c>
      <c r="AI137" s="12">
        <f t="shared" si="85"/>
        <v>1</v>
      </c>
      <c r="AJ137" s="12">
        <f t="shared" si="86"/>
        <v>1</v>
      </c>
      <c r="AK137" s="12">
        <f t="shared" si="87"/>
        <v>1</v>
      </c>
      <c r="AL137" s="12">
        <f t="shared" si="88"/>
        <v>1</v>
      </c>
      <c r="AM137" s="12">
        <f t="shared" si="100"/>
        <v>1</v>
      </c>
      <c r="AN137" s="12">
        <f t="shared" si="101"/>
        <v>1</v>
      </c>
      <c r="AO137" s="12">
        <f t="shared" si="102"/>
        <v>1</v>
      </c>
      <c r="AP137" s="12">
        <f t="shared" si="103"/>
        <v>1</v>
      </c>
      <c r="AQ137" s="12">
        <f t="shared" si="104"/>
        <v>1</v>
      </c>
      <c r="AR137" s="12">
        <f t="shared" si="105"/>
        <v>1</v>
      </c>
      <c r="AS137" s="12" cm="1">
        <f t="array" ref="AS137">IF(AND(H137&lt;&gt;"",SUMPRODUCT(--ISNUMBER(FIND({0;1;2;3;4;5;6;7;8;9},H137)))=0),1,0)</f>
        <v>1</v>
      </c>
      <c r="AT137" s="12" cm="1">
        <f t="array" ref="AT137">IF(AND(I137&lt;&gt;"",SUMPRODUCT(--ISNUMBER(FIND({0;1;2;3;4;5;6;7;8;9},I137)))=0),1,0)</f>
        <v>1</v>
      </c>
      <c r="AU137" s="12" cm="1">
        <f t="array" ref="AU137">IF(AND(J137&lt;&gt;"",SUMPRODUCT(--ISNUMBER(FIND({0;1;2;3;4;5;6;7;8;9},J137)))=0),1,0)</f>
        <v>1</v>
      </c>
      <c r="AV137" s="12">
        <f t="shared" si="89"/>
        <v>1</v>
      </c>
      <c r="AW137" s="12">
        <f t="shared" ca="1" si="106"/>
        <v>1</v>
      </c>
      <c r="AX137" s="12">
        <f t="shared" si="107"/>
        <v>1</v>
      </c>
      <c r="AY137" s="12">
        <f t="shared" si="108"/>
        <v>1</v>
      </c>
      <c r="AZ137" s="12">
        <f t="shared" si="109"/>
        <v>1</v>
      </c>
      <c r="BA137" s="12">
        <f t="shared" si="110"/>
        <v>1</v>
      </c>
      <c r="BB137" s="12">
        <f t="shared" si="111"/>
        <v>1</v>
      </c>
      <c r="BC137" s="12">
        <f t="shared" ca="1" si="112"/>
        <v>1</v>
      </c>
      <c r="BD137" s="12">
        <f t="shared" si="113"/>
        <v>1</v>
      </c>
      <c r="BE137" s="12">
        <f t="shared" si="114"/>
        <v>1</v>
      </c>
      <c r="BF137" s="12">
        <f t="shared" si="115"/>
        <v>1</v>
      </c>
      <c r="BG137" s="12">
        <f t="shared" ca="1" si="116"/>
        <v>1</v>
      </c>
    </row>
    <row r="138" spans="1:59" ht="15.75" customHeight="1" x14ac:dyDescent="0.2">
      <c r="A138" s="19">
        <f t="shared" si="90"/>
        <v>1</v>
      </c>
      <c r="B138" s="20">
        <f t="shared" si="91"/>
        <v>1</v>
      </c>
      <c r="C138" s="20">
        <f t="shared" ca="1" si="92"/>
        <v>1</v>
      </c>
      <c r="D138" s="50">
        <f t="shared" ca="1" si="79"/>
        <v>0</v>
      </c>
      <c r="E138" s="11" t="s">
        <v>608</v>
      </c>
      <c r="F138" s="11" t="s">
        <v>160</v>
      </c>
      <c r="G138" s="11">
        <v>1000000137</v>
      </c>
      <c r="H138" s="11" t="s">
        <v>199</v>
      </c>
      <c r="I138" s="11" t="s">
        <v>256</v>
      </c>
      <c r="J138" s="11" t="s">
        <v>152</v>
      </c>
      <c r="K138" s="11" t="s">
        <v>185</v>
      </c>
      <c r="L138" s="70">
        <v>26106</v>
      </c>
      <c r="M138" s="11" t="s">
        <v>609</v>
      </c>
      <c r="N138" s="11">
        <v>3565472208</v>
      </c>
      <c r="O138" s="11" t="s">
        <v>610</v>
      </c>
      <c r="P138" s="11" t="s">
        <v>165</v>
      </c>
      <c r="Q138" s="11" t="s">
        <v>156</v>
      </c>
      <c r="R138" s="68">
        <v>45501</v>
      </c>
      <c r="S138" s="11" t="s">
        <v>157</v>
      </c>
      <c r="T138" s="11" t="s">
        <v>166</v>
      </c>
      <c r="U138" s="11">
        <v>75000</v>
      </c>
      <c r="V138" s="68">
        <v>45614</v>
      </c>
      <c r="W138" s="12">
        <f t="shared" si="93"/>
        <v>1</v>
      </c>
      <c r="X138" s="12">
        <f t="shared" si="94"/>
        <v>1</v>
      </c>
      <c r="Y138" s="12">
        <f t="shared" si="95"/>
        <v>1</v>
      </c>
      <c r="Z138" s="12">
        <f t="shared" si="96"/>
        <v>1</v>
      </c>
      <c r="AA138" s="12">
        <f t="shared" si="97"/>
        <v>1</v>
      </c>
      <c r="AB138" s="12">
        <f t="shared" si="98"/>
        <v>1</v>
      </c>
      <c r="AC138" s="12">
        <f t="shared" si="99"/>
        <v>1</v>
      </c>
      <c r="AD138" s="12">
        <f t="shared" si="80"/>
        <v>1</v>
      </c>
      <c r="AE138" s="12">
        <f t="shared" si="81"/>
        <v>1</v>
      </c>
      <c r="AF138" s="12">
        <f t="shared" si="82"/>
        <v>1</v>
      </c>
      <c r="AG138" s="12">
        <f t="shared" si="83"/>
        <v>1</v>
      </c>
      <c r="AH138" s="12">
        <f t="shared" si="84"/>
        <v>1</v>
      </c>
      <c r="AI138" s="12">
        <f t="shared" si="85"/>
        <v>1</v>
      </c>
      <c r="AJ138" s="12">
        <f t="shared" si="86"/>
        <v>1</v>
      </c>
      <c r="AK138" s="12">
        <f t="shared" si="87"/>
        <v>1</v>
      </c>
      <c r="AL138" s="12">
        <f t="shared" si="88"/>
        <v>1</v>
      </c>
      <c r="AM138" s="12">
        <f t="shared" si="100"/>
        <v>1</v>
      </c>
      <c r="AN138" s="12">
        <f t="shared" si="101"/>
        <v>1</v>
      </c>
      <c r="AO138" s="12">
        <f t="shared" si="102"/>
        <v>1</v>
      </c>
      <c r="AP138" s="12">
        <f t="shared" si="103"/>
        <v>1</v>
      </c>
      <c r="AQ138" s="12">
        <f t="shared" si="104"/>
        <v>1</v>
      </c>
      <c r="AR138" s="12">
        <f t="shared" si="105"/>
        <v>1</v>
      </c>
      <c r="AS138" s="12" cm="1">
        <f t="array" ref="AS138">IF(AND(H138&lt;&gt;"",SUMPRODUCT(--ISNUMBER(FIND({0;1;2;3;4;5;6;7;8;9},H138)))=0),1,0)</f>
        <v>1</v>
      </c>
      <c r="AT138" s="12" cm="1">
        <f t="array" ref="AT138">IF(AND(I138&lt;&gt;"",SUMPRODUCT(--ISNUMBER(FIND({0;1;2;3;4;5;6;7;8;9},I138)))=0),1,0)</f>
        <v>1</v>
      </c>
      <c r="AU138" s="12" cm="1">
        <f t="array" ref="AU138">IF(AND(J138&lt;&gt;"",SUMPRODUCT(--ISNUMBER(FIND({0;1;2;3;4;5;6;7;8;9},J138)))=0),1,0)</f>
        <v>1</v>
      </c>
      <c r="AV138" s="12">
        <f t="shared" si="89"/>
        <v>1</v>
      </c>
      <c r="AW138" s="12">
        <f t="shared" ca="1" si="106"/>
        <v>1</v>
      </c>
      <c r="AX138" s="12">
        <f t="shared" si="107"/>
        <v>1</v>
      </c>
      <c r="AY138" s="12">
        <f t="shared" si="108"/>
        <v>1</v>
      </c>
      <c r="AZ138" s="12">
        <f t="shared" si="109"/>
        <v>1</v>
      </c>
      <c r="BA138" s="12">
        <f t="shared" si="110"/>
        <v>1</v>
      </c>
      <c r="BB138" s="12">
        <f t="shared" si="111"/>
        <v>1</v>
      </c>
      <c r="BC138" s="12">
        <f t="shared" ca="1" si="112"/>
        <v>1</v>
      </c>
      <c r="BD138" s="12">
        <f t="shared" si="113"/>
        <v>1</v>
      </c>
      <c r="BE138" s="12">
        <f t="shared" si="114"/>
        <v>1</v>
      </c>
      <c r="BF138" s="12">
        <f t="shared" si="115"/>
        <v>1</v>
      </c>
      <c r="BG138" s="12">
        <f t="shared" ca="1" si="116"/>
        <v>1</v>
      </c>
    </row>
    <row r="139" spans="1:59" ht="15.75" customHeight="1" x14ac:dyDescent="0.2">
      <c r="A139" s="19">
        <f t="shared" si="90"/>
        <v>1</v>
      </c>
      <c r="B139" s="20">
        <f t="shared" si="91"/>
        <v>1</v>
      </c>
      <c r="C139" s="20">
        <f t="shared" ca="1" si="92"/>
        <v>1</v>
      </c>
      <c r="D139" s="50">
        <f t="shared" ca="1" si="79"/>
        <v>0</v>
      </c>
      <c r="E139" s="11" t="s">
        <v>611</v>
      </c>
      <c r="F139" s="11" t="s">
        <v>149</v>
      </c>
      <c r="G139" s="11">
        <v>1000000138</v>
      </c>
      <c r="H139" s="11" t="s">
        <v>281</v>
      </c>
      <c r="I139" s="11" t="s">
        <v>151</v>
      </c>
      <c r="J139" s="11" t="s">
        <v>139</v>
      </c>
      <c r="K139" s="11" t="s">
        <v>185</v>
      </c>
      <c r="L139" s="70">
        <v>32511</v>
      </c>
      <c r="M139" s="11" t="s">
        <v>612</v>
      </c>
      <c r="N139" s="11">
        <v>3285276749</v>
      </c>
      <c r="O139" s="11" t="s">
        <v>613</v>
      </c>
      <c r="P139" s="11" t="s">
        <v>155</v>
      </c>
      <c r="Q139" s="11" t="s">
        <v>156</v>
      </c>
      <c r="R139" s="68">
        <v>45641</v>
      </c>
      <c r="S139" s="11" t="s">
        <v>157</v>
      </c>
      <c r="T139" s="11" t="s">
        <v>147</v>
      </c>
      <c r="U139" s="11">
        <v>95000</v>
      </c>
      <c r="V139" s="68">
        <v>45931</v>
      </c>
      <c r="W139" s="12">
        <f t="shared" si="93"/>
        <v>1</v>
      </c>
      <c r="X139" s="12">
        <f t="shared" si="94"/>
        <v>1</v>
      </c>
      <c r="Y139" s="12">
        <f t="shared" si="95"/>
        <v>1</v>
      </c>
      <c r="Z139" s="12">
        <f t="shared" si="96"/>
        <v>1</v>
      </c>
      <c r="AA139" s="12">
        <f t="shared" si="97"/>
        <v>1</v>
      </c>
      <c r="AB139" s="12">
        <f t="shared" si="98"/>
        <v>1</v>
      </c>
      <c r="AC139" s="12">
        <f t="shared" si="99"/>
        <v>1</v>
      </c>
      <c r="AD139" s="12">
        <f t="shared" si="80"/>
        <v>1</v>
      </c>
      <c r="AE139" s="12">
        <f t="shared" si="81"/>
        <v>1</v>
      </c>
      <c r="AF139" s="12">
        <f t="shared" si="82"/>
        <v>1</v>
      </c>
      <c r="AG139" s="12">
        <f t="shared" si="83"/>
        <v>1</v>
      </c>
      <c r="AH139" s="12">
        <f t="shared" si="84"/>
        <v>1</v>
      </c>
      <c r="AI139" s="12">
        <f t="shared" si="85"/>
        <v>1</v>
      </c>
      <c r="AJ139" s="12">
        <f t="shared" si="86"/>
        <v>1</v>
      </c>
      <c r="AK139" s="12">
        <f t="shared" si="87"/>
        <v>1</v>
      </c>
      <c r="AL139" s="12">
        <f t="shared" si="88"/>
        <v>1</v>
      </c>
      <c r="AM139" s="12">
        <f t="shared" si="100"/>
        <v>1</v>
      </c>
      <c r="AN139" s="12">
        <f t="shared" si="101"/>
        <v>1</v>
      </c>
      <c r="AO139" s="12">
        <f t="shared" si="102"/>
        <v>1</v>
      </c>
      <c r="AP139" s="12">
        <f t="shared" si="103"/>
        <v>1</v>
      </c>
      <c r="AQ139" s="12">
        <f t="shared" si="104"/>
        <v>1</v>
      </c>
      <c r="AR139" s="12">
        <f t="shared" si="105"/>
        <v>1</v>
      </c>
      <c r="AS139" s="12" cm="1">
        <f t="array" ref="AS139">IF(AND(H139&lt;&gt;"",SUMPRODUCT(--ISNUMBER(FIND({0;1;2;3;4;5;6;7;8;9},H139)))=0),1,0)</f>
        <v>1</v>
      </c>
      <c r="AT139" s="12" cm="1">
        <f t="array" ref="AT139">IF(AND(I139&lt;&gt;"",SUMPRODUCT(--ISNUMBER(FIND({0;1;2;3;4;5;6;7;8;9},I139)))=0),1,0)</f>
        <v>1</v>
      </c>
      <c r="AU139" s="12" cm="1">
        <f t="array" ref="AU139">IF(AND(J139&lt;&gt;"",SUMPRODUCT(--ISNUMBER(FIND({0;1;2;3;4;5;6;7;8;9},J139)))=0),1,0)</f>
        <v>1</v>
      </c>
      <c r="AV139" s="12">
        <f t="shared" si="89"/>
        <v>1</v>
      </c>
      <c r="AW139" s="12">
        <f t="shared" ca="1" si="106"/>
        <v>1</v>
      </c>
      <c r="AX139" s="12">
        <f t="shared" si="107"/>
        <v>1</v>
      </c>
      <c r="AY139" s="12">
        <f t="shared" si="108"/>
        <v>1</v>
      </c>
      <c r="AZ139" s="12">
        <f t="shared" si="109"/>
        <v>1</v>
      </c>
      <c r="BA139" s="12">
        <f t="shared" si="110"/>
        <v>1</v>
      </c>
      <c r="BB139" s="12">
        <f t="shared" si="111"/>
        <v>1</v>
      </c>
      <c r="BC139" s="12">
        <f t="shared" ca="1" si="112"/>
        <v>1</v>
      </c>
      <c r="BD139" s="12">
        <f t="shared" si="113"/>
        <v>1</v>
      </c>
      <c r="BE139" s="12">
        <f t="shared" si="114"/>
        <v>1</v>
      </c>
      <c r="BF139" s="12">
        <f t="shared" si="115"/>
        <v>1</v>
      </c>
      <c r="BG139" s="12">
        <f t="shared" ca="1" si="116"/>
        <v>1</v>
      </c>
    </row>
    <row r="140" spans="1:59" ht="15.75" customHeight="1" x14ac:dyDescent="0.2">
      <c r="A140" s="19">
        <f t="shared" si="90"/>
        <v>1</v>
      </c>
      <c r="B140" s="20">
        <f t="shared" si="91"/>
        <v>1</v>
      </c>
      <c r="C140" s="20">
        <f t="shared" ca="1" si="92"/>
        <v>0</v>
      </c>
      <c r="D140" s="50">
        <f t="shared" ca="1" si="79"/>
        <v>1</v>
      </c>
      <c r="E140" s="11" t="s">
        <v>614</v>
      </c>
      <c r="F140" s="11" t="s">
        <v>160</v>
      </c>
      <c r="G140" s="11">
        <v>1000000139</v>
      </c>
      <c r="H140" s="11" t="s">
        <v>386</v>
      </c>
      <c r="I140" s="11" t="s">
        <v>256</v>
      </c>
      <c r="J140" s="11" t="s">
        <v>169</v>
      </c>
      <c r="K140" s="11" t="s">
        <v>141</v>
      </c>
      <c r="L140" s="70">
        <v>27208</v>
      </c>
      <c r="M140" s="11" t="s">
        <v>615</v>
      </c>
      <c r="N140" s="11">
        <v>3677099487</v>
      </c>
      <c r="O140" s="11" t="s">
        <v>616</v>
      </c>
      <c r="P140" s="11" t="s">
        <v>172</v>
      </c>
      <c r="Q140" s="11" t="s">
        <v>173</v>
      </c>
      <c r="R140" s="68">
        <v>46003</v>
      </c>
      <c r="S140" s="11" t="s">
        <v>157</v>
      </c>
      <c r="T140" s="11" t="s">
        <v>158</v>
      </c>
      <c r="U140" s="11">
        <v>85000</v>
      </c>
      <c r="V140" s="68">
        <v>46329</v>
      </c>
      <c r="W140" s="12">
        <f t="shared" si="93"/>
        <v>1</v>
      </c>
      <c r="X140" s="12">
        <f t="shared" si="94"/>
        <v>1</v>
      </c>
      <c r="Y140" s="12">
        <f t="shared" si="95"/>
        <v>1</v>
      </c>
      <c r="Z140" s="12">
        <f t="shared" si="96"/>
        <v>1</v>
      </c>
      <c r="AA140" s="12">
        <f t="shared" si="97"/>
        <v>1</v>
      </c>
      <c r="AB140" s="12">
        <f t="shared" si="98"/>
        <v>1</v>
      </c>
      <c r="AC140" s="12">
        <f t="shared" si="99"/>
        <v>1</v>
      </c>
      <c r="AD140" s="12">
        <f t="shared" si="80"/>
        <v>1</v>
      </c>
      <c r="AE140" s="12">
        <f t="shared" si="81"/>
        <v>1</v>
      </c>
      <c r="AF140" s="12">
        <f t="shared" si="82"/>
        <v>1</v>
      </c>
      <c r="AG140" s="12">
        <f t="shared" si="83"/>
        <v>1</v>
      </c>
      <c r="AH140" s="12">
        <f t="shared" si="84"/>
        <v>1</v>
      </c>
      <c r="AI140" s="12">
        <f t="shared" si="85"/>
        <v>1</v>
      </c>
      <c r="AJ140" s="12">
        <f t="shared" si="86"/>
        <v>1</v>
      </c>
      <c r="AK140" s="12">
        <f t="shared" si="87"/>
        <v>1</v>
      </c>
      <c r="AL140" s="12">
        <f t="shared" si="88"/>
        <v>1</v>
      </c>
      <c r="AM140" s="12">
        <f t="shared" si="100"/>
        <v>1</v>
      </c>
      <c r="AN140" s="12">
        <f t="shared" si="101"/>
        <v>1</v>
      </c>
      <c r="AO140" s="12">
        <f t="shared" si="102"/>
        <v>1</v>
      </c>
      <c r="AP140" s="12">
        <f t="shared" si="103"/>
        <v>1</v>
      </c>
      <c r="AQ140" s="12">
        <f t="shared" si="104"/>
        <v>1</v>
      </c>
      <c r="AR140" s="12">
        <f t="shared" si="105"/>
        <v>1</v>
      </c>
      <c r="AS140" s="12" cm="1">
        <f t="array" ref="AS140">IF(AND(H140&lt;&gt;"",SUMPRODUCT(--ISNUMBER(FIND({0;1;2;3;4;5;6;7;8;9},H140)))=0),1,0)</f>
        <v>1</v>
      </c>
      <c r="AT140" s="12" cm="1">
        <f t="array" ref="AT140">IF(AND(I140&lt;&gt;"",SUMPRODUCT(--ISNUMBER(FIND({0;1;2;3;4;5;6;7;8;9},I140)))=0),1,0)</f>
        <v>1</v>
      </c>
      <c r="AU140" s="12" cm="1">
        <f t="array" ref="AU140">IF(AND(J140&lt;&gt;"",SUMPRODUCT(--ISNUMBER(FIND({0;1;2;3;4;5;6;7;8;9},J140)))=0),1,0)</f>
        <v>1</v>
      </c>
      <c r="AV140" s="12">
        <f t="shared" si="89"/>
        <v>1</v>
      </c>
      <c r="AW140" s="12">
        <f t="shared" ca="1" si="106"/>
        <v>1</v>
      </c>
      <c r="AX140" s="12">
        <f t="shared" si="107"/>
        <v>1</v>
      </c>
      <c r="AY140" s="12">
        <f t="shared" si="108"/>
        <v>1</v>
      </c>
      <c r="AZ140" s="12">
        <f t="shared" si="109"/>
        <v>1</v>
      </c>
      <c r="BA140" s="12">
        <f t="shared" si="110"/>
        <v>1</v>
      </c>
      <c r="BB140" s="12">
        <f t="shared" si="111"/>
        <v>1</v>
      </c>
      <c r="BC140" s="12">
        <f t="shared" ca="1" si="112"/>
        <v>1</v>
      </c>
      <c r="BD140" s="12">
        <f t="shared" si="113"/>
        <v>1</v>
      </c>
      <c r="BE140" s="12">
        <f t="shared" si="114"/>
        <v>1</v>
      </c>
      <c r="BF140" s="12">
        <f t="shared" si="115"/>
        <v>1</v>
      </c>
      <c r="BG140" s="12">
        <f t="shared" ca="1" si="116"/>
        <v>0</v>
      </c>
    </row>
    <row r="141" spans="1:59" ht="15.75" customHeight="1" x14ac:dyDescent="0.2">
      <c r="A141" s="19">
        <f t="shared" si="90"/>
        <v>1</v>
      </c>
      <c r="B141" s="20">
        <f t="shared" si="91"/>
        <v>1</v>
      </c>
      <c r="C141" s="20">
        <f t="shared" ca="1" si="92"/>
        <v>1</v>
      </c>
      <c r="D141" s="50">
        <f t="shared" ca="1" si="79"/>
        <v>0</v>
      </c>
      <c r="E141" s="11" t="s">
        <v>617</v>
      </c>
      <c r="F141" s="11" t="s">
        <v>137</v>
      </c>
      <c r="G141" s="11">
        <v>1000000140</v>
      </c>
      <c r="H141" s="11" t="s">
        <v>161</v>
      </c>
      <c r="I141" s="11" t="s">
        <v>183</v>
      </c>
      <c r="J141" s="11" t="s">
        <v>200</v>
      </c>
      <c r="K141" s="11" t="s">
        <v>141</v>
      </c>
      <c r="L141" s="70">
        <v>23812</v>
      </c>
      <c r="M141" s="11" t="s">
        <v>618</v>
      </c>
      <c r="N141" s="11">
        <v>3635670206</v>
      </c>
      <c r="O141" s="11" t="s">
        <v>619</v>
      </c>
      <c r="P141" s="11" t="s">
        <v>224</v>
      </c>
      <c r="Q141" s="11" t="s">
        <v>225</v>
      </c>
      <c r="R141" s="68">
        <v>44909</v>
      </c>
      <c r="S141" s="11" t="s">
        <v>174</v>
      </c>
      <c r="T141" s="11" t="s">
        <v>147</v>
      </c>
      <c r="U141" s="11">
        <v>90000</v>
      </c>
      <c r="V141" s="68">
        <v>45189</v>
      </c>
      <c r="W141" s="12">
        <f t="shared" si="93"/>
        <v>1</v>
      </c>
      <c r="X141" s="12">
        <f t="shared" si="94"/>
        <v>1</v>
      </c>
      <c r="Y141" s="12">
        <f t="shared" si="95"/>
        <v>1</v>
      </c>
      <c r="Z141" s="12">
        <f t="shared" si="96"/>
        <v>1</v>
      </c>
      <c r="AA141" s="12">
        <f t="shared" si="97"/>
        <v>1</v>
      </c>
      <c r="AB141" s="12">
        <f t="shared" si="98"/>
        <v>1</v>
      </c>
      <c r="AC141" s="12">
        <f t="shared" si="99"/>
        <v>1</v>
      </c>
      <c r="AD141" s="12">
        <f t="shared" si="80"/>
        <v>1</v>
      </c>
      <c r="AE141" s="12">
        <f t="shared" si="81"/>
        <v>1</v>
      </c>
      <c r="AF141" s="12">
        <f t="shared" si="82"/>
        <v>1</v>
      </c>
      <c r="AG141" s="12">
        <f t="shared" si="83"/>
        <v>1</v>
      </c>
      <c r="AH141" s="12">
        <f t="shared" si="84"/>
        <v>1</v>
      </c>
      <c r="AI141" s="12">
        <f t="shared" si="85"/>
        <v>1</v>
      </c>
      <c r="AJ141" s="12">
        <f t="shared" si="86"/>
        <v>1</v>
      </c>
      <c r="AK141" s="12">
        <f t="shared" si="87"/>
        <v>1</v>
      </c>
      <c r="AL141" s="12">
        <f t="shared" si="88"/>
        <v>1</v>
      </c>
      <c r="AM141" s="12">
        <f t="shared" si="100"/>
        <v>1</v>
      </c>
      <c r="AN141" s="12">
        <f t="shared" si="101"/>
        <v>1</v>
      </c>
      <c r="AO141" s="12">
        <f t="shared" si="102"/>
        <v>1</v>
      </c>
      <c r="AP141" s="12">
        <f t="shared" si="103"/>
        <v>1</v>
      </c>
      <c r="AQ141" s="12">
        <f t="shared" si="104"/>
        <v>1</v>
      </c>
      <c r="AR141" s="12">
        <f t="shared" si="105"/>
        <v>1</v>
      </c>
      <c r="AS141" s="12" cm="1">
        <f t="array" ref="AS141">IF(AND(H141&lt;&gt;"",SUMPRODUCT(--ISNUMBER(FIND({0;1;2;3;4;5;6;7;8;9},H141)))=0),1,0)</f>
        <v>1</v>
      </c>
      <c r="AT141" s="12" cm="1">
        <f t="array" ref="AT141">IF(AND(I141&lt;&gt;"",SUMPRODUCT(--ISNUMBER(FIND({0;1;2;3;4;5;6;7;8;9},I141)))=0),1,0)</f>
        <v>1</v>
      </c>
      <c r="AU141" s="12" cm="1">
        <f t="array" ref="AU141">IF(AND(J141&lt;&gt;"",SUMPRODUCT(--ISNUMBER(FIND({0;1;2;3;4;5;6;7;8;9},J141)))=0),1,0)</f>
        <v>1</v>
      </c>
      <c r="AV141" s="12">
        <f t="shared" si="89"/>
        <v>1</v>
      </c>
      <c r="AW141" s="12">
        <f t="shared" ca="1" si="106"/>
        <v>1</v>
      </c>
      <c r="AX141" s="12">
        <f t="shared" si="107"/>
        <v>1</v>
      </c>
      <c r="AY141" s="12">
        <f t="shared" si="108"/>
        <v>1</v>
      </c>
      <c r="AZ141" s="12">
        <f t="shared" si="109"/>
        <v>1</v>
      </c>
      <c r="BA141" s="12">
        <f t="shared" si="110"/>
        <v>1</v>
      </c>
      <c r="BB141" s="12">
        <f t="shared" si="111"/>
        <v>1</v>
      </c>
      <c r="BC141" s="12">
        <f t="shared" ca="1" si="112"/>
        <v>1</v>
      </c>
      <c r="BD141" s="12">
        <f t="shared" si="113"/>
        <v>1</v>
      </c>
      <c r="BE141" s="12">
        <f t="shared" si="114"/>
        <v>1</v>
      </c>
      <c r="BF141" s="12">
        <f t="shared" si="115"/>
        <v>1</v>
      </c>
      <c r="BG141" s="12">
        <f t="shared" ca="1" si="116"/>
        <v>1</v>
      </c>
    </row>
    <row r="142" spans="1:59" ht="15.75" customHeight="1" x14ac:dyDescent="0.2">
      <c r="A142" s="19">
        <f t="shared" si="90"/>
        <v>1</v>
      </c>
      <c r="B142" s="20">
        <f t="shared" si="91"/>
        <v>1</v>
      </c>
      <c r="C142" s="20">
        <f t="shared" ca="1" si="92"/>
        <v>1</v>
      </c>
      <c r="D142" s="50">
        <f t="shared" ca="1" si="79"/>
        <v>0</v>
      </c>
      <c r="E142" s="11" t="s">
        <v>620</v>
      </c>
      <c r="F142" s="11" t="s">
        <v>137</v>
      </c>
      <c r="G142" s="11">
        <v>1000000141</v>
      </c>
      <c r="H142" s="11" t="s">
        <v>294</v>
      </c>
      <c r="I142" s="11" t="s">
        <v>221</v>
      </c>
      <c r="J142" s="11" t="s">
        <v>221</v>
      </c>
      <c r="K142" s="11" t="s">
        <v>185</v>
      </c>
      <c r="L142" s="70">
        <v>34466</v>
      </c>
      <c r="M142" s="11" t="s">
        <v>621</v>
      </c>
      <c r="N142" s="11">
        <v>3455670608</v>
      </c>
      <c r="O142" s="11" t="s">
        <v>622</v>
      </c>
      <c r="P142" s="11" t="s">
        <v>224</v>
      </c>
      <c r="Q142" s="11" t="s">
        <v>225</v>
      </c>
      <c r="R142" s="68">
        <v>44734</v>
      </c>
      <c r="S142" s="11" t="s">
        <v>157</v>
      </c>
      <c r="T142" s="11" t="s">
        <v>158</v>
      </c>
      <c r="U142" s="11">
        <v>75000</v>
      </c>
      <c r="V142" s="68">
        <v>45059</v>
      </c>
      <c r="W142" s="12">
        <f t="shared" si="93"/>
        <v>1</v>
      </c>
      <c r="X142" s="12">
        <f t="shared" si="94"/>
        <v>1</v>
      </c>
      <c r="Y142" s="12">
        <f t="shared" si="95"/>
        <v>1</v>
      </c>
      <c r="Z142" s="12">
        <f t="shared" si="96"/>
        <v>1</v>
      </c>
      <c r="AA142" s="12">
        <f t="shared" si="97"/>
        <v>1</v>
      </c>
      <c r="AB142" s="12">
        <f t="shared" si="98"/>
        <v>1</v>
      </c>
      <c r="AC142" s="12">
        <f t="shared" si="99"/>
        <v>1</v>
      </c>
      <c r="AD142" s="12">
        <f t="shared" si="80"/>
        <v>1</v>
      </c>
      <c r="AE142" s="12">
        <f t="shared" si="81"/>
        <v>1</v>
      </c>
      <c r="AF142" s="12">
        <f t="shared" si="82"/>
        <v>1</v>
      </c>
      <c r="AG142" s="12">
        <f t="shared" si="83"/>
        <v>1</v>
      </c>
      <c r="AH142" s="12">
        <f t="shared" si="84"/>
        <v>1</v>
      </c>
      <c r="AI142" s="12">
        <f t="shared" si="85"/>
        <v>1</v>
      </c>
      <c r="AJ142" s="12">
        <f t="shared" si="86"/>
        <v>1</v>
      </c>
      <c r="AK142" s="12">
        <f t="shared" si="87"/>
        <v>1</v>
      </c>
      <c r="AL142" s="12">
        <f t="shared" si="88"/>
        <v>1</v>
      </c>
      <c r="AM142" s="12">
        <f t="shared" si="100"/>
        <v>1</v>
      </c>
      <c r="AN142" s="12">
        <f t="shared" si="101"/>
        <v>1</v>
      </c>
      <c r="AO142" s="12">
        <f t="shared" si="102"/>
        <v>1</v>
      </c>
      <c r="AP142" s="12">
        <f t="shared" si="103"/>
        <v>1</v>
      </c>
      <c r="AQ142" s="12">
        <f t="shared" si="104"/>
        <v>1</v>
      </c>
      <c r="AR142" s="12">
        <f t="shared" si="105"/>
        <v>1</v>
      </c>
      <c r="AS142" s="12" cm="1">
        <f t="array" ref="AS142">IF(AND(H142&lt;&gt;"",SUMPRODUCT(--ISNUMBER(FIND({0;1;2;3;4;5;6;7;8;9},H142)))=0),1,0)</f>
        <v>1</v>
      </c>
      <c r="AT142" s="12" cm="1">
        <f t="array" ref="AT142">IF(AND(I142&lt;&gt;"",SUMPRODUCT(--ISNUMBER(FIND({0;1;2;3;4;5;6;7;8;9},I142)))=0),1,0)</f>
        <v>1</v>
      </c>
      <c r="AU142" s="12" cm="1">
        <f t="array" ref="AU142">IF(AND(J142&lt;&gt;"",SUMPRODUCT(--ISNUMBER(FIND({0;1;2;3;4;5;6;7;8;9},J142)))=0),1,0)</f>
        <v>1</v>
      </c>
      <c r="AV142" s="12">
        <f t="shared" si="89"/>
        <v>1</v>
      </c>
      <c r="AW142" s="12">
        <f t="shared" ca="1" si="106"/>
        <v>1</v>
      </c>
      <c r="AX142" s="12">
        <f t="shared" si="107"/>
        <v>1</v>
      </c>
      <c r="AY142" s="12">
        <f t="shared" si="108"/>
        <v>1</v>
      </c>
      <c r="AZ142" s="12">
        <f t="shared" si="109"/>
        <v>1</v>
      </c>
      <c r="BA142" s="12">
        <f t="shared" si="110"/>
        <v>1</v>
      </c>
      <c r="BB142" s="12">
        <f t="shared" si="111"/>
        <v>1</v>
      </c>
      <c r="BC142" s="12">
        <f t="shared" ca="1" si="112"/>
        <v>1</v>
      </c>
      <c r="BD142" s="12">
        <f t="shared" si="113"/>
        <v>1</v>
      </c>
      <c r="BE142" s="12">
        <f t="shared" si="114"/>
        <v>1</v>
      </c>
      <c r="BF142" s="12">
        <f t="shared" si="115"/>
        <v>1</v>
      </c>
      <c r="BG142" s="12">
        <f t="shared" ca="1" si="116"/>
        <v>1</v>
      </c>
    </row>
    <row r="143" spans="1:59" ht="15.75" customHeight="1" x14ac:dyDescent="0.2">
      <c r="A143" s="19">
        <f t="shared" si="90"/>
        <v>1</v>
      </c>
      <c r="B143" s="20">
        <f t="shared" si="91"/>
        <v>1</v>
      </c>
      <c r="C143" s="20">
        <f t="shared" ca="1" si="92"/>
        <v>0</v>
      </c>
      <c r="D143" s="50">
        <f t="shared" ca="1" si="79"/>
        <v>1</v>
      </c>
      <c r="E143" s="11" t="s">
        <v>623</v>
      </c>
      <c r="F143" s="11" t="s">
        <v>160</v>
      </c>
      <c r="G143" s="11">
        <v>1000000142</v>
      </c>
      <c r="H143" s="11" t="s">
        <v>211</v>
      </c>
      <c r="I143" s="11" t="s">
        <v>183</v>
      </c>
      <c r="J143" s="11" t="s">
        <v>256</v>
      </c>
      <c r="K143" s="11" t="s">
        <v>141</v>
      </c>
      <c r="L143" s="70">
        <v>32996</v>
      </c>
      <c r="M143" s="11" t="s">
        <v>624</v>
      </c>
      <c r="N143" s="11">
        <v>3482081636</v>
      </c>
      <c r="O143" s="11" t="s">
        <v>625</v>
      </c>
      <c r="P143" s="11" t="s">
        <v>179</v>
      </c>
      <c r="Q143" s="11" t="s">
        <v>180</v>
      </c>
      <c r="R143" s="68">
        <v>46105</v>
      </c>
      <c r="S143" s="11" t="s">
        <v>174</v>
      </c>
      <c r="T143" s="11" t="s">
        <v>158</v>
      </c>
      <c r="U143" s="11">
        <v>85000</v>
      </c>
      <c r="V143" s="68">
        <v>46443</v>
      </c>
      <c r="W143" s="12">
        <f t="shared" si="93"/>
        <v>1</v>
      </c>
      <c r="X143" s="12">
        <f t="shared" si="94"/>
        <v>1</v>
      </c>
      <c r="Y143" s="12">
        <f t="shared" si="95"/>
        <v>1</v>
      </c>
      <c r="Z143" s="12">
        <f t="shared" si="96"/>
        <v>1</v>
      </c>
      <c r="AA143" s="12">
        <f t="shared" si="97"/>
        <v>1</v>
      </c>
      <c r="AB143" s="12">
        <f t="shared" si="98"/>
        <v>1</v>
      </c>
      <c r="AC143" s="12">
        <f t="shared" si="99"/>
        <v>1</v>
      </c>
      <c r="AD143" s="12">
        <f t="shared" si="80"/>
        <v>1</v>
      </c>
      <c r="AE143" s="12">
        <f t="shared" si="81"/>
        <v>1</v>
      </c>
      <c r="AF143" s="12">
        <f t="shared" si="82"/>
        <v>1</v>
      </c>
      <c r="AG143" s="12">
        <f t="shared" si="83"/>
        <v>1</v>
      </c>
      <c r="AH143" s="12">
        <f t="shared" si="84"/>
        <v>1</v>
      </c>
      <c r="AI143" s="12">
        <f t="shared" si="85"/>
        <v>1</v>
      </c>
      <c r="AJ143" s="12">
        <f t="shared" si="86"/>
        <v>1</v>
      </c>
      <c r="AK143" s="12">
        <f t="shared" si="87"/>
        <v>1</v>
      </c>
      <c r="AL143" s="12">
        <f t="shared" si="88"/>
        <v>1</v>
      </c>
      <c r="AM143" s="12">
        <f t="shared" si="100"/>
        <v>1</v>
      </c>
      <c r="AN143" s="12">
        <f t="shared" si="101"/>
        <v>1</v>
      </c>
      <c r="AO143" s="12">
        <f t="shared" si="102"/>
        <v>1</v>
      </c>
      <c r="AP143" s="12">
        <f t="shared" si="103"/>
        <v>1</v>
      </c>
      <c r="AQ143" s="12">
        <f t="shared" si="104"/>
        <v>1</v>
      </c>
      <c r="AR143" s="12">
        <f t="shared" si="105"/>
        <v>1</v>
      </c>
      <c r="AS143" s="12" cm="1">
        <f t="array" ref="AS143">IF(AND(H143&lt;&gt;"",SUMPRODUCT(--ISNUMBER(FIND({0;1;2;3;4;5;6;7;8;9},H143)))=0),1,0)</f>
        <v>1</v>
      </c>
      <c r="AT143" s="12" cm="1">
        <f t="array" ref="AT143">IF(AND(I143&lt;&gt;"",SUMPRODUCT(--ISNUMBER(FIND({0;1;2;3;4;5;6;7;8;9},I143)))=0),1,0)</f>
        <v>1</v>
      </c>
      <c r="AU143" s="12" cm="1">
        <f t="array" ref="AU143">IF(AND(J143&lt;&gt;"",SUMPRODUCT(--ISNUMBER(FIND({0;1;2;3;4;5;6;7;8;9},J143)))=0),1,0)</f>
        <v>1</v>
      </c>
      <c r="AV143" s="12">
        <f t="shared" si="89"/>
        <v>1</v>
      </c>
      <c r="AW143" s="12">
        <f t="shared" ca="1" si="106"/>
        <v>1</v>
      </c>
      <c r="AX143" s="12">
        <f t="shared" si="107"/>
        <v>1</v>
      </c>
      <c r="AY143" s="12">
        <f t="shared" si="108"/>
        <v>1</v>
      </c>
      <c r="AZ143" s="12">
        <f t="shared" si="109"/>
        <v>1</v>
      </c>
      <c r="BA143" s="12">
        <f t="shared" si="110"/>
        <v>1</v>
      </c>
      <c r="BB143" s="12">
        <f t="shared" si="111"/>
        <v>1</v>
      </c>
      <c r="BC143" s="12">
        <f t="shared" ca="1" si="112"/>
        <v>1</v>
      </c>
      <c r="BD143" s="12">
        <f t="shared" si="113"/>
        <v>1</v>
      </c>
      <c r="BE143" s="12">
        <f t="shared" si="114"/>
        <v>1</v>
      </c>
      <c r="BF143" s="12">
        <f t="shared" si="115"/>
        <v>1</v>
      </c>
      <c r="BG143" s="12">
        <f t="shared" ca="1" si="116"/>
        <v>0</v>
      </c>
    </row>
    <row r="144" spans="1:59" ht="15.75" customHeight="1" x14ac:dyDescent="0.2">
      <c r="A144" s="19">
        <f t="shared" si="90"/>
        <v>1</v>
      </c>
      <c r="B144" s="20">
        <f t="shared" si="91"/>
        <v>1</v>
      </c>
      <c r="C144" s="20">
        <f t="shared" ca="1" si="92"/>
        <v>1</v>
      </c>
      <c r="D144" s="50">
        <f t="shared" ca="1" si="79"/>
        <v>0</v>
      </c>
      <c r="E144" s="11" t="s">
        <v>626</v>
      </c>
      <c r="F144" s="11" t="s">
        <v>149</v>
      </c>
      <c r="G144" s="11">
        <v>1000000143</v>
      </c>
      <c r="H144" s="11" t="s">
        <v>255</v>
      </c>
      <c r="I144" s="11" t="s">
        <v>260</v>
      </c>
      <c r="J144" s="11" t="s">
        <v>260</v>
      </c>
      <c r="K144" s="11" t="s">
        <v>141</v>
      </c>
      <c r="L144" s="70">
        <v>28114</v>
      </c>
      <c r="M144" s="11" t="s">
        <v>627</v>
      </c>
      <c r="N144" s="11">
        <v>3515892518</v>
      </c>
      <c r="O144" s="11" t="s">
        <v>628</v>
      </c>
      <c r="P144" s="11" t="s">
        <v>172</v>
      </c>
      <c r="Q144" s="11" t="s">
        <v>173</v>
      </c>
      <c r="R144" s="68">
        <v>45292</v>
      </c>
      <c r="S144" s="11" t="s">
        <v>146</v>
      </c>
      <c r="T144" s="11" t="s">
        <v>166</v>
      </c>
      <c r="U144" s="11">
        <v>85000</v>
      </c>
      <c r="V144" s="68">
        <v>45408</v>
      </c>
      <c r="W144" s="12">
        <f t="shared" si="93"/>
        <v>1</v>
      </c>
      <c r="X144" s="12">
        <f t="shared" si="94"/>
        <v>1</v>
      </c>
      <c r="Y144" s="12">
        <f t="shared" si="95"/>
        <v>1</v>
      </c>
      <c r="Z144" s="12">
        <f t="shared" si="96"/>
        <v>1</v>
      </c>
      <c r="AA144" s="12">
        <f t="shared" si="97"/>
        <v>1</v>
      </c>
      <c r="AB144" s="12">
        <f t="shared" si="98"/>
        <v>1</v>
      </c>
      <c r="AC144" s="12">
        <f t="shared" si="99"/>
        <v>1</v>
      </c>
      <c r="AD144" s="12">
        <f t="shared" si="80"/>
        <v>1</v>
      </c>
      <c r="AE144" s="12">
        <f t="shared" si="81"/>
        <v>1</v>
      </c>
      <c r="AF144" s="12">
        <f t="shared" si="82"/>
        <v>1</v>
      </c>
      <c r="AG144" s="12">
        <f t="shared" si="83"/>
        <v>1</v>
      </c>
      <c r="AH144" s="12">
        <f t="shared" si="84"/>
        <v>1</v>
      </c>
      <c r="AI144" s="12">
        <f t="shared" si="85"/>
        <v>1</v>
      </c>
      <c r="AJ144" s="12">
        <f t="shared" si="86"/>
        <v>1</v>
      </c>
      <c r="AK144" s="12">
        <f t="shared" si="87"/>
        <v>1</v>
      </c>
      <c r="AL144" s="12">
        <f t="shared" si="88"/>
        <v>1</v>
      </c>
      <c r="AM144" s="12">
        <f t="shared" si="100"/>
        <v>1</v>
      </c>
      <c r="AN144" s="12">
        <f t="shared" si="101"/>
        <v>1</v>
      </c>
      <c r="AO144" s="12">
        <f t="shared" si="102"/>
        <v>1</v>
      </c>
      <c r="AP144" s="12">
        <f t="shared" si="103"/>
        <v>1</v>
      </c>
      <c r="AQ144" s="12">
        <f t="shared" si="104"/>
        <v>1</v>
      </c>
      <c r="AR144" s="12">
        <f t="shared" si="105"/>
        <v>1</v>
      </c>
      <c r="AS144" s="12" cm="1">
        <f t="array" ref="AS144">IF(AND(H144&lt;&gt;"",SUMPRODUCT(--ISNUMBER(FIND({0;1;2;3;4;5;6;7;8;9},H144)))=0),1,0)</f>
        <v>1</v>
      </c>
      <c r="AT144" s="12" cm="1">
        <f t="array" ref="AT144">IF(AND(I144&lt;&gt;"",SUMPRODUCT(--ISNUMBER(FIND({0;1;2;3;4;5;6;7;8;9},I144)))=0),1,0)</f>
        <v>1</v>
      </c>
      <c r="AU144" s="12" cm="1">
        <f t="array" ref="AU144">IF(AND(J144&lt;&gt;"",SUMPRODUCT(--ISNUMBER(FIND({0;1;2;3;4;5;6;7;8;9},J144)))=0),1,0)</f>
        <v>1</v>
      </c>
      <c r="AV144" s="12">
        <f t="shared" si="89"/>
        <v>1</v>
      </c>
      <c r="AW144" s="12">
        <f t="shared" ca="1" si="106"/>
        <v>1</v>
      </c>
      <c r="AX144" s="12">
        <f t="shared" si="107"/>
        <v>1</v>
      </c>
      <c r="AY144" s="12">
        <f t="shared" si="108"/>
        <v>1</v>
      </c>
      <c r="AZ144" s="12">
        <f t="shared" si="109"/>
        <v>1</v>
      </c>
      <c r="BA144" s="12">
        <f t="shared" si="110"/>
        <v>1</v>
      </c>
      <c r="BB144" s="12">
        <f t="shared" si="111"/>
        <v>1</v>
      </c>
      <c r="BC144" s="12">
        <f t="shared" ca="1" si="112"/>
        <v>1</v>
      </c>
      <c r="BD144" s="12">
        <f t="shared" si="113"/>
        <v>1</v>
      </c>
      <c r="BE144" s="12">
        <f t="shared" si="114"/>
        <v>1</v>
      </c>
      <c r="BF144" s="12">
        <f t="shared" si="115"/>
        <v>1</v>
      </c>
      <c r="BG144" s="12">
        <f t="shared" ca="1" si="116"/>
        <v>1</v>
      </c>
    </row>
    <row r="145" spans="1:59" ht="15.75" customHeight="1" x14ac:dyDescent="0.2">
      <c r="A145" s="19">
        <f t="shared" si="90"/>
        <v>1</v>
      </c>
      <c r="B145" s="20">
        <f t="shared" si="91"/>
        <v>1</v>
      </c>
      <c r="C145" s="20">
        <f t="shared" ca="1" si="92"/>
        <v>1</v>
      </c>
      <c r="D145" s="50">
        <f t="shared" ca="1" si="79"/>
        <v>0</v>
      </c>
      <c r="E145" s="11" t="s">
        <v>629</v>
      </c>
      <c r="F145" s="11" t="s">
        <v>160</v>
      </c>
      <c r="G145" s="11">
        <v>1000000144</v>
      </c>
      <c r="H145" s="11" t="s">
        <v>176</v>
      </c>
      <c r="I145" s="11" t="s">
        <v>195</v>
      </c>
      <c r="J145" s="11" t="s">
        <v>221</v>
      </c>
      <c r="K145" s="11" t="s">
        <v>141</v>
      </c>
      <c r="L145" s="70">
        <v>25592</v>
      </c>
      <c r="M145" s="11" t="s">
        <v>630</v>
      </c>
      <c r="N145" s="11">
        <v>3383910430</v>
      </c>
      <c r="O145" s="11" t="s">
        <v>631</v>
      </c>
      <c r="P145" s="11" t="s">
        <v>172</v>
      </c>
      <c r="Q145" s="11" t="s">
        <v>173</v>
      </c>
      <c r="R145" s="68">
        <v>45916</v>
      </c>
      <c r="S145" s="11" t="s">
        <v>146</v>
      </c>
      <c r="T145" s="11" t="s">
        <v>147</v>
      </c>
      <c r="U145" s="11">
        <v>85000</v>
      </c>
      <c r="V145" s="68">
        <v>46100</v>
      </c>
      <c r="W145" s="12">
        <f t="shared" si="93"/>
        <v>1</v>
      </c>
      <c r="X145" s="12">
        <f t="shared" si="94"/>
        <v>1</v>
      </c>
      <c r="Y145" s="12">
        <f t="shared" si="95"/>
        <v>1</v>
      </c>
      <c r="Z145" s="12">
        <f t="shared" si="96"/>
        <v>1</v>
      </c>
      <c r="AA145" s="12">
        <f t="shared" si="97"/>
        <v>1</v>
      </c>
      <c r="AB145" s="12">
        <f t="shared" si="98"/>
        <v>1</v>
      </c>
      <c r="AC145" s="12">
        <f t="shared" si="99"/>
        <v>1</v>
      </c>
      <c r="AD145" s="12">
        <f t="shared" si="80"/>
        <v>1</v>
      </c>
      <c r="AE145" s="12">
        <f t="shared" si="81"/>
        <v>1</v>
      </c>
      <c r="AF145" s="12">
        <f t="shared" si="82"/>
        <v>1</v>
      </c>
      <c r="AG145" s="12">
        <f t="shared" si="83"/>
        <v>1</v>
      </c>
      <c r="AH145" s="12">
        <f t="shared" si="84"/>
        <v>1</v>
      </c>
      <c r="AI145" s="12">
        <f t="shared" si="85"/>
        <v>1</v>
      </c>
      <c r="AJ145" s="12">
        <f t="shared" si="86"/>
        <v>1</v>
      </c>
      <c r="AK145" s="12">
        <f t="shared" si="87"/>
        <v>1</v>
      </c>
      <c r="AL145" s="12">
        <f t="shared" si="88"/>
        <v>1</v>
      </c>
      <c r="AM145" s="12">
        <f t="shared" si="100"/>
        <v>1</v>
      </c>
      <c r="AN145" s="12">
        <f t="shared" si="101"/>
        <v>1</v>
      </c>
      <c r="AO145" s="12">
        <f t="shared" si="102"/>
        <v>1</v>
      </c>
      <c r="AP145" s="12">
        <f t="shared" si="103"/>
        <v>1</v>
      </c>
      <c r="AQ145" s="12">
        <f t="shared" si="104"/>
        <v>1</v>
      </c>
      <c r="AR145" s="12">
        <f t="shared" si="105"/>
        <v>1</v>
      </c>
      <c r="AS145" s="12" cm="1">
        <f t="array" ref="AS145">IF(AND(H145&lt;&gt;"",SUMPRODUCT(--ISNUMBER(FIND({0;1;2;3;4;5;6;7;8;9},H145)))=0),1,0)</f>
        <v>1</v>
      </c>
      <c r="AT145" s="12" cm="1">
        <f t="array" ref="AT145">IF(AND(I145&lt;&gt;"",SUMPRODUCT(--ISNUMBER(FIND({0;1;2;3;4;5;6;7;8;9},I145)))=0),1,0)</f>
        <v>1</v>
      </c>
      <c r="AU145" s="12" cm="1">
        <f t="array" ref="AU145">IF(AND(J145&lt;&gt;"",SUMPRODUCT(--ISNUMBER(FIND({0;1;2;3;4;5;6;7;8;9},J145)))=0),1,0)</f>
        <v>1</v>
      </c>
      <c r="AV145" s="12">
        <f t="shared" si="89"/>
        <v>1</v>
      </c>
      <c r="AW145" s="12">
        <f t="shared" ca="1" si="106"/>
        <v>1</v>
      </c>
      <c r="AX145" s="12">
        <f t="shared" si="107"/>
        <v>1</v>
      </c>
      <c r="AY145" s="12">
        <f t="shared" si="108"/>
        <v>1</v>
      </c>
      <c r="AZ145" s="12">
        <f t="shared" si="109"/>
        <v>1</v>
      </c>
      <c r="BA145" s="12">
        <f t="shared" si="110"/>
        <v>1</v>
      </c>
      <c r="BB145" s="12">
        <f t="shared" si="111"/>
        <v>1</v>
      </c>
      <c r="BC145" s="12">
        <f t="shared" ca="1" si="112"/>
        <v>1</v>
      </c>
      <c r="BD145" s="12">
        <f t="shared" si="113"/>
        <v>1</v>
      </c>
      <c r="BE145" s="12">
        <f t="shared" si="114"/>
        <v>1</v>
      </c>
      <c r="BF145" s="12">
        <f t="shared" si="115"/>
        <v>1</v>
      </c>
      <c r="BG145" s="12">
        <f t="shared" ca="1" si="116"/>
        <v>1</v>
      </c>
    </row>
    <row r="146" spans="1:59" ht="15.75" customHeight="1" x14ac:dyDescent="0.2">
      <c r="A146" s="19">
        <f t="shared" si="90"/>
        <v>1</v>
      </c>
      <c r="B146" s="20">
        <f t="shared" si="91"/>
        <v>1</v>
      </c>
      <c r="C146" s="20">
        <f t="shared" ca="1" si="92"/>
        <v>1</v>
      </c>
      <c r="D146" s="50">
        <f t="shared" ca="1" si="79"/>
        <v>0</v>
      </c>
      <c r="E146" s="11" t="s">
        <v>632</v>
      </c>
      <c r="F146" s="11" t="s">
        <v>149</v>
      </c>
      <c r="G146" s="11">
        <v>1000000145</v>
      </c>
      <c r="H146" s="11" t="s">
        <v>242</v>
      </c>
      <c r="I146" s="11" t="s">
        <v>140</v>
      </c>
      <c r="J146" s="11" t="s">
        <v>221</v>
      </c>
      <c r="K146" s="11" t="s">
        <v>185</v>
      </c>
      <c r="L146" s="70">
        <v>27114</v>
      </c>
      <c r="M146" s="11" t="s">
        <v>633</v>
      </c>
      <c r="N146" s="11">
        <v>3675221020</v>
      </c>
      <c r="O146" s="11" t="s">
        <v>634</v>
      </c>
      <c r="P146" s="11" t="s">
        <v>179</v>
      </c>
      <c r="Q146" s="11" t="s">
        <v>180</v>
      </c>
      <c r="R146" s="68">
        <v>45600</v>
      </c>
      <c r="S146" s="11" t="s">
        <v>174</v>
      </c>
      <c r="T146" s="11" t="s">
        <v>147</v>
      </c>
      <c r="U146" s="11">
        <v>75000</v>
      </c>
      <c r="V146" s="68">
        <v>45733</v>
      </c>
      <c r="W146" s="12">
        <f t="shared" si="93"/>
        <v>1</v>
      </c>
      <c r="X146" s="12">
        <f t="shared" si="94"/>
        <v>1</v>
      </c>
      <c r="Y146" s="12">
        <f t="shared" si="95"/>
        <v>1</v>
      </c>
      <c r="Z146" s="12">
        <f t="shared" si="96"/>
        <v>1</v>
      </c>
      <c r="AA146" s="12">
        <f t="shared" si="97"/>
        <v>1</v>
      </c>
      <c r="AB146" s="12">
        <f t="shared" si="98"/>
        <v>1</v>
      </c>
      <c r="AC146" s="12">
        <f t="shared" si="99"/>
        <v>1</v>
      </c>
      <c r="AD146" s="12">
        <f t="shared" si="80"/>
        <v>1</v>
      </c>
      <c r="AE146" s="12">
        <f t="shared" si="81"/>
        <v>1</v>
      </c>
      <c r="AF146" s="12">
        <f t="shared" si="82"/>
        <v>1</v>
      </c>
      <c r="AG146" s="12">
        <f t="shared" si="83"/>
        <v>1</v>
      </c>
      <c r="AH146" s="12">
        <f t="shared" si="84"/>
        <v>1</v>
      </c>
      <c r="AI146" s="12">
        <f t="shared" si="85"/>
        <v>1</v>
      </c>
      <c r="AJ146" s="12">
        <f t="shared" si="86"/>
        <v>1</v>
      </c>
      <c r="AK146" s="12">
        <f t="shared" si="87"/>
        <v>1</v>
      </c>
      <c r="AL146" s="12">
        <f t="shared" si="88"/>
        <v>1</v>
      </c>
      <c r="AM146" s="12">
        <f t="shared" si="100"/>
        <v>1</v>
      </c>
      <c r="AN146" s="12">
        <f t="shared" si="101"/>
        <v>1</v>
      </c>
      <c r="AO146" s="12">
        <f t="shared" si="102"/>
        <v>1</v>
      </c>
      <c r="AP146" s="12">
        <f t="shared" si="103"/>
        <v>1</v>
      </c>
      <c r="AQ146" s="12">
        <f t="shared" si="104"/>
        <v>1</v>
      </c>
      <c r="AR146" s="12">
        <f t="shared" si="105"/>
        <v>1</v>
      </c>
      <c r="AS146" s="12" cm="1">
        <f t="array" ref="AS146">IF(AND(H146&lt;&gt;"",SUMPRODUCT(--ISNUMBER(FIND({0;1;2;3;4;5;6;7;8;9},H146)))=0),1,0)</f>
        <v>1</v>
      </c>
      <c r="AT146" s="12" cm="1">
        <f t="array" ref="AT146">IF(AND(I146&lt;&gt;"",SUMPRODUCT(--ISNUMBER(FIND({0;1;2;3;4;5;6;7;8;9},I146)))=0),1,0)</f>
        <v>1</v>
      </c>
      <c r="AU146" s="12" cm="1">
        <f t="array" ref="AU146">IF(AND(J146&lt;&gt;"",SUMPRODUCT(--ISNUMBER(FIND({0;1;2;3;4;5;6;7;8;9},J146)))=0),1,0)</f>
        <v>1</v>
      </c>
      <c r="AV146" s="12">
        <f t="shared" si="89"/>
        <v>1</v>
      </c>
      <c r="AW146" s="12">
        <f t="shared" ca="1" si="106"/>
        <v>1</v>
      </c>
      <c r="AX146" s="12">
        <f t="shared" si="107"/>
        <v>1</v>
      </c>
      <c r="AY146" s="12">
        <f t="shared" si="108"/>
        <v>1</v>
      </c>
      <c r="AZ146" s="12">
        <f t="shared" si="109"/>
        <v>1</v>
      </c>
      <c r="BA146" s="12">
        <f t="shared" si="110"/>
        <v>1</v>
      </c>
      <c r="BB146" s="12">
        <f t="shared" si="111"/>
        <v>1</v>
      </c>
      <c r="BC146" s="12">
        <f t="shared" ca="1" si="112"/>
        <v>1</v>
      </c>
      <c r="BD146" s="12">
        <f t="shared" si="113"/>
        <v>1</v>
      </c>
      <c r="BE146" s="12">
        <f t="shared" si="114"/>
        <v>1</v>
      </c>
      <c r="BF146" s="12">
        <f t="shared" si="115"/>
        <v>1</v>
      </c>
      <c r="BG146" s="12">
        <f t="shared" ca="1" si="116"/>
        <v>1</v>
      </c>
    </row>
    <row r="147" spans="1:59" ht="15.75" customHeight="1" x14ac:dyDescent="0.2">
      <c r="A147" s="19">
        <f t="shared" si="90"/>
        <v>1</v>
      </c>
      <c r="B147" s="20">
        <f t="shared" si="91"/>
        <v>1</v>
      </c>
      <c r="C147" s="20">
        <f t="shared" ca="1" si="92"/>
        <v>1</v>
      </c>
      <c r="D147" s="50">
        <f t="shared" ca="1" si="79"/>
        <v>0</v>
      </c>
      <c r="E147" s="11" t="s">
        <v>635</v>
      </c>
      <c r="F147" s="11" t="s">
        <v>149</v>
      </c>
      <c r="G147" s="11">
        <v>1000000146</v>
      </c>
      <c r="H147" s="11" t="s">
        <v>193</v>
      </c>
      <c r="I147" s="11" t="s">
        <v>184</v>
      </c>
      <c r="J147" s="11" t="s">
        <v>221</v>
      </c>
      <c r="K147" s="11" t="s">
        <v>185</v>
      </c>
      <c r="L147" s="70">
        <v>36127</v>
      </c>
      <c r="M147" s="11" t="s">
        <v>636</v>
      </c>
      <c r="N147" s="11">
        <v>3412513821</v>
      </c>
      <c r="O147" s="11" t="s">
        <v>637</v>
      </c>
      <c r="P147" s="11" t="s">
        <v>144</v>
      </c>
      <c r="Q147" s="11" t="s">
        <v>145</v>
      </c>
      <c r="R147" s="68">
        <v>45445</v>
      </c>
      <c r="S147" s="11" t="s">
        <v>157</v>
      </c>
      <c r="T147" s="11" t="s">
        <v>166</v>
      </c>
      <c r="U147" s="11">
        <v>85000</v>
      </c>
      <c r="V147" s="68">
        <v>45506</v>
      </c>
      <c r="W147" s="12">
        <f t="shared" si="93"/>
        <v>1</v>
      </c>
      <c r="X147" s="12">
        <f t="shared" si="94"/>
        <v>1</v>
      </c>
      <c r="Y147" s="12">
        <f t="shared" si="95"/>
        <v>1</v>
      </c>
      <c r="Z147" s="12">
        <f t="shared" si="96"/>
        <v>1</v>
      </c>
      <c r="AA147" s="12">
        <f t="shared" si="97"/>
        <v>1</v>
      </c>
      <c r="AB147" s="12">
        <f t="shared" si="98"/>
        <v>1</v>
      </c>
      <c r="AC147" s="12">
        <f t="shared" si="99"/>
        <v>1</v>
      </c>
      <c r="AD147" s="12">
        <f t="shared" si="80"/>
        <v>1</v>
      </c>
      <c r="AE147" s="12">
        <f t="shared" si="81"/>
        <v>1</v>
      </c>
      <c r="AF147" s="12">
        <f t="shared" si="82"/>
        <v>1</v>
      </c>
      <c r="AG147" s="12">
        <f t="shared" si="83"/>
        <v>1</v>
      </c>
      <c r="AH147" s="12">
        <f t="shared" si="84"/>
        <v>1</v>
      </c>
      <c r="AI147" s="12">
        <f t="shared" si="85"/>
        <v>1</v>
      </c>
      <c r="AJ147" s="12">
        <f t="shared" si="86"/>
        <v>1</v>
      </c>
      <c r="AK147" s="12">
        <f t="shared" si="87"/>
        <v>1</v>
      </c>
      <c r="AL147" s="12">
        <f t="shared" si="88"/>
        <v>1</v>
      </c>
      <c r="AM147" s="12">
        <f t="shared" si="100"/>
        <v>1</v>
      </c>
      <c r="AN147" s="12">
        <f t="shared" si="101"/>
        <v>1</v>
      </c>
      <c r="AO147" s="12">
        <f t="shared" si="102"/>
        <v>1</v>
      </c>
      <c r="AP147" s="12">
        <f t="shared" si="103"/>
        <v>1</v>
      </c>
      <c r="AQ147" s="12">
        <f t="shared" si="104"/>
        <v>1</v>
      </c>
      <c r="AR147" s="12">
        <f t="shared" si="105"/>
        <v>1</v>
      </c>
      <c r="AS147" s="12" cm="1">
        <f t="array" ref="AS147">IF(AND(H147&lt;&gt;"",SUMPRODUCT(--ISNUMBER(FIND({0;1;2;3;4;5;6;7;8;9},H147)))=0),1,0)</f>
        <v>1</v>
      </c>
      <c r="AT147" s="12" cm="1">
        <f t="array" ref="AT147">IF(AND(I147&lt;&gt;"",SUMPRODUCT(--ISNUMBER(FIND({0;1;2;3;4;5;6;7;8;9},I147)))=0),1,0)</f>
        <v>1</v>
      </c>
      <c r="AU147" s="12" cm="1">
        <f t="array" ref="AU147">IF(AND(J147&lt;&gt;"",SUMPRODUCT(--ISNUMBER(FIND({0;1;2;3;4;5;6;7;8;9},J147)))=0),1,0)</f>
        <v>1</v>
      </c>
      <c r="AV147" s="12">
        <f t="shared" si="89"/>
        <v>1</v>
      </c>
      <c r="AW147" s="12">
        <f t="shared" ca="1" si="106"/>
        <v>1</v>
      </c>
      <c r="AX147" s="12">
        <f t="shared" si="107"/>
        <v>1</v>
      </c>
      <c r="AY147" s="12">
        <f t="shared" si="108"/>
        <v>1</v>
      </c>
      <c r="AZ147" s="12">
        <f t="shared" si="109"/>
        <v>1</v>
      </c>
      <c r="BA147" s="12">
        <f t="shared" si="110"/>
        <v>1</v>
      </c>
      <c r="BB147" s="12">
        <f t="shared" si="111"/>
        <v>1</v>
      </c>
      <c r="BC147" s="12">
        <f t="shared" ca="1" si="112"/>
        <v>1</v>
      </c>
      <c r="BD147" s="12">
        <f t="shared" si="113"/>
        <v>1</v>
      </c>
      <c r="BE147" s="12">
        <f t="shared" si="114"/>
        <v>1</v>
      </c>
      <c r="BF147" s="12">
        <f t="shared" si="115"/>
        <v>1</v>
      </c>
      <c r="BG147" s="12">
        <f t="shared" ca="1" si="116"/>
        <v>1</v>
      </c>
    </row>
    <row r="148" spans="1:59" ht="15.75" customHeight="1" x14ac:dyDescent="0.2">
      <c r="A148" s="19">
        <f t="shared" si="90"/>
        <v>1</v>
      </c>
      <c r="B148" s="20">
        <f t="shared" si="91"/>
        <v>1</v>
      </c>
      <c r="C148" s="20">
        <f t="shared" ca="1" si="92"/>
        <v>1</v>
      </c>
      <c r="D148" s="50">
        <f t="shared" ca="1" si="79"/>
        <v>0</v>
      </c>
      <c r="E148" s="11" t="s">
        <v>638</v>
      </c>
      <c r="F148" s="11" t="s">
        <v>160</v>
      </c>
      <c r="G148" s="11">
        <v>1000000147</v>
      </c>
      <c r="H148" s="11" t="s">
        <v>207</v>
      </c>
      <c r="I148" s="11" t="s">
        <v>267</v>
      </c>
      <c r="J148" s="11" t="s">
        <v>212</v>
      </c>
      <c r="K148" s="11" t="s">
        <v>141</v>
      </c>
      <c r="L148" s="70">
        <v>29335</v>
      </c>
      <c r="M148" s="11" t="s">
        <v>639</v>
      </c>
      <c r="N148" s="11">
        <v>3751445879</v>
      </c>
      <c r="O148" s="11" t="s">
        <v>640</v>
      </c>
      <c r="P148" s="11" t="s">
        <v>172</v>
      </c>
      <c r="Q148" s="11" t="s">
        <v>173</v>
      </c>
      <c r="R148" s="68">
        <v>45080</v>
      </c>
      <c r="S148" s="11" t="s">
        <v>157</v>
      </c>
      <c r="T148" s="11" t="s">
        <v>158</v>
      </c>
      <c r="U148" s="11">
        <v>95000</v>
      </c>
      <c r="V148" s="68">
        <v>45422</v>
      </c>
      <c r="W148" s="12">
        <f t="shared" si="93"/>
        <v>1</v>
      </c>
      <c r="X148" s="12">
        <f t="shared" si="94"/>
        <v>1</v>
      </c>
      <c r="Y148" s="12">
        <f t="shared" si="95"/>
        <v>1</v>
      </c>
      <c r="Z148" s="12">
        <f t="shared" si="96"/>
        <v>1</v>
      </c>
      <c r="AA148" s="12">
        <f t="shared" si="97"/>
        <v>1</v>
      </c>
      <c r="AB148" s="12">
        <f t="shared" si="98"/>
        <v>1</v>
      </c>
      <c r="AC148" s="12">
        <f t="shared" si="99"/>
        <v>1</v>
      </c>
      <c r="AD148" s="12">
        <f t="shared" si="80"/>
        <v>1</v>
      </c>
      <c r="AE148" s="12">
        <f t="shared" si="81"/>
        <v>1</v>
      </c>
      <c r="AF148" s="12">
        <f t="shared" si="82"/>
        <v>1</v>
      </c>
      <c r="AG148" s="12">
        <f t="shared" si="83"/>
        <v>1</v>
      </c>
      <c r="AH148" s="12">
        <f t="shared" si="84"/>
        <v>1</v>
      </c>
      <c r="AI148" s="12">
        <f t="shared" si="85"/>
        <v>1</v>
      </c>
      <c r="AJ148" s="12">
        <f t="shared" si="86"/>
        <v>1</v>
      </c>
      <c r="AK148" s="12">
        <f t="shared" si="87"/>
        <v>1</v>
      </c>
      <c r="AL148" s="12">
        <f t="shared" si="88"/>
        <v>1</v>
      </c>
      <c r="AM148" s="12">
        <f t="shared" si="100"/>
        <v>1</v>
      </c>
      <c r="AN148" s="12">
        <f t="shared" si="101"/>
        <v>1</v>
      </c>
      <c r="AO148" s="12">
        <f t="shared" si="102"/>
        <v>1</v>
      </c>
      <c r="AP148" s="12">
        <f t="shared" si="103"/>
        <v>1</v>
      </c>
      <c r="AQ148" s="12">
        <f t="shared" si="104"/>
        <v>1</v>
      </c>
      <c r="AR148" s="12">
        <f t="shared" si="105"/>
        <v>1</v>
      </c>
      <c r="AS148" s="12" cm="1">
        <f t="array" ref="AS148">IF(AND(H148&lt;&gt;"",SUMPRODUCT(--ISNUMBER(FIND({0;1;2;3;4;5;6;7;8;9},H148)))=0),1,0)</f>
        <v>1</v>
      </c>
      <c r="AT148" s="12" cm="1">
        <f t="array" ref="AT148">IF(AND(I148&lt;&gt;"",SUMPRODUCT(--ISNUMBER(FIND({0;1;2;3;4;5;6;7;8;9},I148)))=0),1,0)</f>
        <v>1</v>
      </c>
      <c r="AU148" s="12" cm="1">
        <f t="array" ref="AU148">IF(AND(J148&lt;&gt;"",SUMPRODUCT(--ISNUMBER(FIND({0;1;2;3;4;5;6;7;8;9},J148)))=0),1,0)</f>
        <v>1</v>
      </c>
      <c r="AV148" s="12">
        <f t="shared" si="89"/>
        <v>1</v>
      </c>
      <c r="AW148" s="12">
        <f t="shared" ca="1" si="106"/>
        <v>1</v>
      </c>
      <c r="AX148" s="12">
        <f t="shared" si="107"/>
        <v>1</v>
      </c>
      <c r="AY148" s="12">
        <f t="shared" si="108"/>
        <v>1</v>
      </c>
      <c r="AZ148" s="12">
        <f t="shared" si="109"/>
        <v>1</v>
      </c>
      <c r="BA148" s="12">
        <f t="shared" si="110"/>
        <v>1</v>
      </c>
      <c r="BB148" s="12">
        <f t="shared" si="111"/>
        <v>1</v>
      </c>
      <c r="BC148" s="12">
        <f t="shared" ca="1" si="112"/>
        <v>1</v>
      </c>
      <c r="BD148" s="12">
        <f t="shared" si="113"/>
        <v>1</v>
      </c>
      <c r="BE148" s="12">
        <f t="shared" si="114"/>
        <v>1</v>
      </c>
      <c r="BF148" s="12">
        <f t="shared" si="115"/>
        <v>1</v>
      </c>
      <c r="BG148" s="12">
        <f t="shared" ca="1" si="116"/>
        <v>1</v>
      </c>
    </row>
    <row r="149" spans="1:59" ht="15.75" customHeight="1" x14ac:dyDescent="0.2">
      <c r="A149" s="19">
        <f t="shared" si="90"/>
        <v>1</v>
      </c>
      <c r="B149" s="20">
        <f t="shared" si="91"/>
        <v>1</v>
      </c>
      <c r="C149" s="20">
        <f t="shared" ca="1" si="92"/>
        <v>1</v>
      </c>
      <c r="D149" s="50">
        <f t="shared" ref="D149:D201" ca="1" si="117">IF(SUM(A149:C149)&lt;3,1,0)</f>
        <v>0</v>
      </c>
      <c r="E149" s="11" t="s">
        <v>641</v>
      </c>
      <c r="F149" s="11" t="s">
        <v>149</v>
      </c>
      <c r="G149" s="11">
        <v>1000000148</v>
      </c>
      <c r="H149" s="11" t="s">
        <v>193</v>
      </c>
      <c r="I149" s="11" t="s">
        <v>162</v>
      </c>
      <c r="J149" s="11" t="s">
        <v>231</v>
      </c>
      <c r="K149" s="11" t="s">
        <v>185</v>
      </c>
      <c r="L149" s="70">
        <v>29696</v>
      </c>
      <c r="M149" s="11" t="s">
        <v>642</v>
      </c>
      <c r="N149" s="11">
        <v>3794978891</v>
      </c>
      <c r="O149" s="11" t="s">
        <v>643</v>
      </c>
      <c r="P149" s="11" t="s">
        <v>144</v>
      </c>
      <c r="Q149" s="11" t="s">
        <v>145</v>
      </c>
      <c r="R149" s="68">
        <v>45350</v>
      </c>
      <c r="S149" s="11" t="s">
        <v>146</v>
      </c>
      <c r="T149" s="11" t="s">
        <v>166</v>
      </c>
      <c r="U149" s="11">
        <v>95000</v>
      </c>
      <c r="V149" s="68">
        <v>45435</v>
      </c>
      <c r="W149" s="12">
        <f t="shared" si="93"/>
        <v>1</v>
      </c>
      <c r="X149" s="12">
        <f t="shared" si="94"/>
        <v>1</v>
      </c>
      <c r="Y149" s="12">
        <f t="shared" si="95"/>
        <v>1</v>
      </c>
      <c r="Z149" s="12">
        <f t="shared" si="96"/>
        <v>1</v>
      </c>
      <c r="AA149" s="12">
        <f t="shared" si="97"/>
        <v>1</v>
      </c>
      <c r="AB149" s="12">
        <f t="shared" si="98"/>
        <v>1</v>
      </c>
      <c r="AC149" s="12">
        <f t="shared" si="99"/>
        <v>1</v>
      </c>
      <c r="AD149" s="12">
        <f t="shared" ref="AD149:AD201" si="118">IF(K149="",0,1)</f>
        <v>1</v>
      </c>
      <c r="AE149" s="12">
        <f t="shared" ref="AE149:AE201" si="119">IF(L149="",0,1)</f>
        <v>1</v>
      </c>
      <c r="AF149" s="12">
        <f t="shared" ref="AF149:AF201" si="120">IF(M149="",0,1)</f>
        <v>1</v>
      </c>
      <c r="AG149" s="12">
        <f t="shared" ref="AG149:AG201" si="121">IF(N149="",0,1)</f>
        <v>1</v>
      </c>
      <c r="AH149" s="12">
        <f t="shared" ref="AH149:AH201" si="122">IF(O149="",0,1)</f>
        <v>1</v>
      </c>
      <c r="AI149" s="12">
        <f t="shared" ref="AI149:AI201" si="123">IF(P149="",0,1)</f>
        <v>1</v>
      </c>
      <c r="AJ149" s="12">
        <f t="shared" ref="AJ149:AJ201" si="124">IF(Q149="",0,1)</f>
        <v>1</v>
      </c>
      <c r="AK149" s="12">
        <f t="shared" ref="AK149:AK201" si="125">IF(R149="",0,1)</f>
        <v>1</v>
      </c>
      <c r="AL149" s="12">
        <f t="shared" ref="AL149:AL201" si="126">IF(S149="",0,1)</f>
        <v>1</v>
      </c>
      <c r="AM149" s="12">
        <f t="shared" si="100"/>
        <v>1</v>
      </c>
      <c r="AN149" s="12">
        <f t="shared" si="101"/>
        <v>1</v>
      </c>
      <c r="AO149" s="12">
        <f t="shared" si="102"/>
        <v>1</v>
      </c>
      <c r="AP149" s="12">
        <f t="shared" si="103"/>
        <v>1</v>
      </c>
      <c r="AQ149" s="12">
        <f t="shared" si="104"/>
        <v>1</v>
      </c>
      <c r="AR149" s="12">
        <f t="shared" si="105"/>
        <v>1</v>
      </c>
      <c r="AS149" s="12" cm="1">
        <f t="array" ref="AS149">IF(AND(H149&lt;&gt;"",SUMPRODUCT(--ISNUMBER(FIND({0;1;2;3;4;5;6;7;8;9},H149)))=0),1,0)</f>
        <v>1</v>
      </c>
      <c r="AT149" s="12" cm="1">
        <f t="array" ref="AT149">IF(AND(I149&lt;&gt;"",SUMPRODUCT(--ISNUMBER(FIND({0;1;2;3;4;5;6;7;8;9},I149)))=0),1,0)</f>
        <v>1</v>
      </c>
      <c r="AU149" s="12" cm="1">
        <f t="array" ref="AU149">IF(AND(J149&lt;&gt;"",SUMPRODUCT(--ISNUMBER(FIND({0;1;2;3;4;5;6;7;8;9},J149)))=0),1,0)</f>
        <v>1</v>
      </c>
      <c r="AV149" s="12">
        <f t="shared" ref="AV149:AV201" si="127">IF(OR(ISBLANK(K149),K149=""),1,IF(ISTEXT(K149),1,0))</f>
        <v>1</v>
      </c>
      <c r="AW149" s="12">
        <f t="shared" ca="1" si="106"/>
        <v>1</v>
      </c>
      <c r="AX149" s="12">
        <f t="shared" si="107"/>
        <v>1</v>
      </c>
      <c r="AY149" s="12">
        <f t="shared" si="108"/>
        <v>1</v>
      </c>
      <c r="AZ149" s="12">
        <f t="shared" si="109"/>
        <v>1</v>
      </c>
      <c r="BA149" s="12">
        <f t="shared" si="110"/>
        <v>1</v>
      </c>
      <c r="BB149" s="12">
        <f t="shared" si="111"/>
        <v>1</v>
      </c>
      <c r="BC149" s="12">
        <f t="shared" ca="1" si="112"/>
        <v>1</v>
      </c>
      <c r="BD149" s="12">
        <f t="shared" si="113"/>
        <v>1</v>
      </c>
      <c r="BE149" s="12">
        <f t="shared" si="114"/>
        <v>1</v>
      </c>
      <c r="BF149" s="12">
        <f t="shared" si="115"/>
        <v>1</v>
      </c>
      <c r="BG149" s="12">
        <f t="shared" ca="1" si="116"/>
        <v>1</v>
      </c>
    </row>
    <row r="150" spans="1:59" ht="15.75" customHeight="1" x14ac:dyDescent="0.2">
      <c r="A150" s="19">
        <f t="shared" si="90"/>
        <v>1</v>
      </c>
      <c r="B150" s="20">
        <f t="shared" si="91"/>
        <v>1</v>
      </c>
      <c r="C150" s="20">
        <f t="shared" ca="1" si="92"/>
        <v>1</v>
      </c>
      <c r="D150" s="50">
        <f t="shared" ca="1" si="117"/>
        <v>0</v>
      </c>
      <c r="E150" s="11" t="s">
        <v>644</v>
      </c>
      <c r="F150" s="11" t="s">
        <v>160</v>
      </c>
      <c r="G150" s="11">
        <v>1000000149</v>
      </c>
      <c r="H150" s="11" t="s">
        <v>211</v>
      </c>
      <c r="I150" s="11" t="s">
        <v>267</v>
      </c>
      <c r="J150" s="11" t="s">
        <v>162</v>
      </c>
      <c r="K150" s="11" t="s">
        <v>141</v>
      </c>
      <c r="L150" s="70">
        <v>27898</v>
      </c>
      <c r="M150" s="11" t="s">
        <v>645</v>
      </c>
      <c r="N150" s="11">
        <v>3196614672</v>
      </c>
      <c r="O150" s="11" t="s">
        <v>646</v>
      </c>
      <c r="P150" s="11" t="s">
        <v>144</v>
      </c>
      <c r="Q150" s="11" t="s">
        <v>145</v>
      </c>
      <c r="R150" s="68">
        <v>44953</v>
      </c>
      <c r="S150" s="11" t="s">
        <v>157</v>
      </c>
      <c r="T150" s="11" t="s">
        <v>147</v>
      </c>
      <c r="U150" s="11">
        <v>90000</v>
      </c>
      <c r="V150" s="68">
        <v>45195</v>
      </c>
      <c r="W150" s="12">
        <f t="shared" si="93"/>
        <v>1</v>
      </c>
      <c r="X150" s="12">
        <f t="shared" si="94"/>
        <v>1</v>
      </c>
      <c r="Y150" s="12">
        <f t="shared" si="95"/>
        <v>1</v>
      </c>
      <c r="Z150" s="12">
        <f t="shared" si="96"/>
        <v>1</v>
      </c>
      <c r="AA150" s="12">
        <f t="shared" si="97"/>
        <v>1</v>
      </c>
      <c r="AB150" s="12">
        <f t="shared" si="98"/>
        <v>1</v>
      </c>
      <c r="AC150" s="12">
        <f t="shared" si="99"/>
        <v>1</v>
      </c>
      <c r="AD150" s="12">
        <f t="shared" si="118"/>
        <v>1</v>
      </c>
      <c r="AE150" s="12">
        <f t="shared" si="119"/>
        <v>1</v>
      </c>
      <c r="AF150" s="12">
        <f t="shared" si="120"/>
        <v>1</v>
      </c>
      <c r="AG150" s="12">
        <f t="shared" si="121"/>
        <v>1</v>
      </c>
      <c r="AH150" s="12">
        <f t="shared" si="122"/>
        <v>1</v>
      </c>
      <c r="AI150" s="12">
        <f t="shared" si="123"/>
        <v>1</v>
      </c>
      <c r="AJ150" s="12">
        <f t="shared" si="124"/>
        <v>1</v>
      </c>
      <c r="AK150" s="12">
        <f t="shared" si="125"/>
        <v>1</v>
      </c>
      <c r="AL150" s="12">
        <f t="shared" si="126"/>
        <v>1</v>
      </c>
      <c r="AM150" s="12">
        <f t="shared" si="100"/>
        <v>1</v>
      </c>
      <c r="AN150" s="12">
        <f t="shared" si="101"/>
        <v>1</v>
      </c>
      <c r="AO150" s="12">
        <f t="shared" si="102"/>
        <v>1</v>
      </c>
      <c r="AP150" s="12">
        <f t="shared" si="103"/>
        <v>1</v>
      </c>
      <c r="AQ150" s="12">
        <f t="shared" si="104"/>
        <v>1</v>
      </c>
      <c r="AR150" s="12">
        <f t="shared" si="105"/>
        <v>1</v>
      </c>
      <c r="AS150" s="12" cm="1">
        <f t="array" ref="AS150">IF(AND(H150&lt;&gt;"",SUMPRODUCT(--ISNUMBER(FIND({0;1;2;3;4;5;6;7;8;9},H150)))=0),1,0)</f>
        <v>1</v>
      </c>
      <c r="AT150" s="12" cm="1">
        <f t="array" ref="AT150">IF(AND(I150&lt;&gt;"",SUMPRODUCT(--ISNUMBER(FIND({0;1;2;3;4;5;6;7;8;9},I150)))=0),1,0)</f>
        <v>1</v>
      </c>
      <c r="AU150" s="12" cm="1">
        <f t="array" ref="AU150">IF(AND(J150&lt;&gt;"",SUMPRODUCT(--ISNUMBER(FIND({0;1;2;3;4;5;6;7;8;9},J150)))=0),1,0)</f>
        <v>1</v>
      </c>
      <c r="AV150" s="12">
        <f t="shared" si="127"/>
        <v>1</v>
      </c>
      <c r="AW150" s="12">
        <f t="shared" ca="1" si="106"/>
        <v>1</v>
      </c>
      <c r="AX150" s="12">
        <f t="shared" si="107"/>
        <v>1</v>
      </c>
      <c r="AY150" s="12">
        <f t="shared" si="108"/>
        <v>1</v>
      </c>
      <c r="AZ150" s="12">
        <f t="shared" si="109"/>
        <v>1</v>
      </c>
      <c r="BA150" s="12">
        <f t="shared" si="110"/>
        <v>1</v>
      </c>
      <c r="BB150" s="12">
        <f t="shared" si="111"/>
        <v>1</v>
      </c>
      <c r="BC150" s="12">
        <f t="shared" ca="1" si="112"/>
        <v>1</v>
      </c>
      <c r="BD150" s="12">
        <f t="shared" si="113"/>
        <v>1</v>
      </c>
      <c r="BE150" s="12">
        <f t="shared" si="114"/>
        <v>1</v>
      </c>
      <c r="BF150" s="12">
        <f t="shared" si="115"/>
        <v>1</v>
      </c>
      <c r="BG150" s="12">
        <f t="shared" ca="1" si="116"/>
        <v>1</v>
      </c>
    </row>
    <row r="151" spans="1:59" ht="15.75" customHeight="1" x14ac:dyDescent="0.2">
      <c r="A151" s="19">
        <f t="shared" si="90"/>
        <v>1</v>
      </c>
      <c r="B151" s="20">
        <f t="shared" si="91"/>
        <v>1</v>
      </c>
      <c r="C151" s="20">
        <f t="shared" ca="1" si="92"/>
        <v>0</v>
      </c>
      <c r="D151" s="50">
        <f t="shared" ca="1" si="117"/>
        <v>1</v>
      </c>
      <c r="E151" s="11" t="s">
        <v>647</v>
      </c>
      <c r="F151" s="11" t="s">
        <v>160</v>
      </c>
      <c r="G151" s="11">
        <v>1000000150</v>
      </c>
      <c r="H151" s="11" t="s">
        <v>150</v>
      </c>
      <c r="I151" s="11" t="s">
        <v>267</v>
      </c>
      <c r="J151" s="11" t="s">
        <v>162</v>
      </c>
      <c r="K151" s="11" t="s">
        <v>141</v>
      </c>
      <c r="L151" s="70">
        <v>36758</v>
      </c>
      <c r="M151" s="11" t="s">
        <v>648</v>
      </c>
      <c r="N151" s="11">
        <v>3861944100</v>
      </c>
      <c r="O151" s="11" t="s">
        <v>649</v>
      </c>
      <c r="P151" s="11" t="s">
        <v>217</v>
      </c>
      <c r="Q151" s="11" t="s">
        <v>218</v>
      </c>
      <c r="R151" s="68">
        <v>45967</v>
      </c>
      <c r="S151" s="11" t="s">
        <v>174</v>
      </c>
      <c r="T151" s="11" t="s">
        <v>147</v>
      </c>
      <c r="U151" s="11">
        <v>85000</v>
      </c>
      <c r="V151" s="68">
        <v>46224</v>
      </c>
      <c r="W151" s="12">
        <f t="shared" si="93"/>
        <v>1</v>
      </c>
      <c r="X151" s="12">
        <f t="shared" si="94"/>
        <v>1</v>
      </c>
      <c r="Y151" s="12">
        <f t="shared" si="95"/>
        <v>1</v>
      </c>
      <c r="Z151" s="12">
        <f t="shared" si="96"/>
        <v>1</v>
      </c>
      <c r="AA151" s="12">
        <f t="shared" si="97"/>
        <v>1</v>
      </c>
      <c r="AB151" s="12">
        <f t="shared" si="98"/>
        <v>1</v>
      </c>
      <c r="AC151" s="12">
        <f t="shared" si="99"/>
        <v>1</v>
      </c>
      <c r="AD151" s="12">
        <f t="shared" si="118"/>
        <v>1</v>
      </c>
      <c r="AE151" s="12">
        <f t="shared" si="119"/>
        <v>1</v>
      </c>
      <c r="AF151" s="12">
        <f t="shared" si="120"/>
        <v>1</v>
      </c>
      <c r="AG151" s="12">
        <f t="shared" si="121"/>
        <v>1</v>
      </c>
      <c r="AH151" s="12">
        <f t="shared" si="122"/>
        <v>1</v>
      </c>
      <c r="AI151" s="12">
        <f t="shared" si="123"/>
        <v>1</v>
      </c>
      <c r="AJ151" s="12">
        <f t="shared" si="124"/>
        <v>1</v>
      </c>
      <c r="AK151" s="12">
        <f t="shared" si="125"/>
        <v>1</v>
      </c>
      <c r="AL151" s="12">
        <f t="shared" si="126"/>
        <v>1</v>
      </c>
      <c r="AM151" s="12">
        <f t="shared" si="100"/>
        <v>1</v>
      </c>
      <c r="AN151" s="12">
        <f t="shared" si="101"/>
        <v>1</v>
      </c>
      <c r="AO151" s="12">
        <f t="shared" si="102"/>
        <v>1</v>
      </c>
      <c r="AP151" s="12">
        <f t="shared" si="103"/>
        <v>1</v>
      </c>
      <c r="AQ151" s="12">
        <f t="shared" si="104"/>
        <v>1</v>
      </c>
      <c r="AR151" s="12">
        <f t="shared" si="105"/>
        <v>1</v>
      </c>
      <c r="AS151" s="12" cm="1">
        <f t="array" ref="AS151">IF(AND(H151&lt;&gt;"",SUMPRODUCT(--ISNUMBER(FIND({0;1;2;3;4;5;6;7;8;9},H151)))=0),1,0)</f>
        <v>1</v>
      </c>
      <c r="AT151" s="12" cm="1">
        <f t="array" ref="AT151">IF(AND(I151&lt;&gt;"",SUMPRODUCT(--ISNUMBER(FIND({0;1;2;3;4;5;6;7;8;9},I151)))=0),1,0)</f>
        <v>1</v>
      </c>
      <c r="AU151" s="12" cm="1">
        <f t="array" ref="AU151">IF(AND(J151&lt;&gt;"",SUMPRODUCT(--ISNUMBER(FIND({0;1;2;3;4;5;6;7;8;9},J151)))=0),1,0)</f>
        <v>1</v>
      </c>
      <c r="AV151" s="12">
        <f t="shared" si="127"/>
        <v>1</v>
      </c>
      <c r="AW151" s="12">
        <f t="shared" ca="1" si="106"/>
        <v>1</v>
      </c>
      <c r="AX151" s="12">
        <f t="shared" si="107"/>
        <v>1</v>
      </c>
      <c r="AY151" s="12">
        <f t="shared" si="108"/>
        <v>1</v>
      </c>
      <c r="AZ151" s="12">
        <f t="shared" si="109"/>
        <v>1</v>
      </c>
      <c r="BA151" s="12">
        <f t="shared" si="110"/>
        <v>1</v>
      </c>
      <c r="BB151" s="12">
        <f t="shared" si="111"/>
        <v>1</v>
      </c>
      <c r="BC151" s="12">
        <f t="shared" ca="1" si="112"/>
        <v>1</v>
      </c>
      <c r="BD151" s="12">
        <f t="shared" si="113"/>
        <v>1</v>
      </c>
      <c r="BE151" s="12">
        <f t="shared" si="114"/>
        <v>1</v>
      </c>
      <c r="BF151" s="12">
        <f t="shared" si="115"/>
        <v>1</v>
      </c>
      <c r="BG151" s="12">
        <f t="shared" ca="1" si="116"/>
        <v>0</v>
      </c>
    </row>
    <row r="152" spans="1:59" ht="15.75" customHeight="1" x14ac:dyDescent="0.2">
      <c r="A152" s="19">
        <f t="shared" si="90"/>
        <v>1</v>
      </c>
      <c r="B152" s="20">
        <f t="shared" si="91"/>
        <v>1</v>
      </c>
      <c r="C152" s="20">
        <f t="shared" ca="1" si="92"/>
        <v>1</v>
      </c>
      <c r="D152" s="50">
        <f t="shared" ca="1" si="117"/>
        <v>0</v>
      </c>
      <c r="E152" s="11" t="s">
        <v>650</v>
      </c>
      <c r="F152" s="11" t="s">
        <v>149</v>
      </c>
      <c r="G152" s="11">
        <v>1000000151</v>
      </c>
      <c r="H152" s="11" t="s">
        <v>199</v>
      </c>
      <c r="I152" s="11" t="s">
        <v>151</v>
      </c>
      <c r="J152" s="11" t="s">
        <v>260</v>
      </c>
      <c r="K152" s="11" t="s">
        <v>185</v>
      </c>
      <c r="L152" s="70">
        <v>33673</v>
      </c>
      <c r="M152" s="11" t="s">
        <v>651</v>
      </c>
      <c r="N152" s="11">
        <v>3482462915</v>
      </c>
      <c r="O152" s="11" t="s">
        <v>652</v>
      </c>
      <c r="P152" s="11" t="s">
        <v>155</v>
      </c>
      <c r="Q152" s="11" t="s">
        <v>156</v>
      </c>
      <c r="R152" s="68">
        <v>45034</v>
      </c>
      <c r="S152" s="11" t="s">
        <v>157</v>
      </c>
      <c r="T152" s="11" t="s">
        <v>166</v>
      </c>
      <c r="U152" s="11">
        <v>90000</v>
      </c>
      <c r="V152" s="68">
        <v>45319</v>
      </c>
      <c r="W152" s="12">
        <f t="shared" si="93"/>
        <v>1</v>
      </c>
      <c r="X152" s="12">
        <f t="shared" si="94"/>
        <v>1</v>
      </c>
      <c r="Y152" s="12">
        <f t="shared" si="95"/>
        <v>1</v>
      </c>
      <c r="Z152" s="12">
        <f t="shared" si="96"/>
        <v>1</v>
      </c>
      <c r="AA152" s="12">
        <f t="shared" si="97"/>
        <v>1</v>
      </c>
      <c r="AB152" s="12">
        <f t="shared" si="98"/>
        <v>1</v>
      </c>
      <c r="AC152" s="12">
        <f t="shared" si="99"/>
        <v>1</v>
      </c>
      <c r="AD152" s="12">
        <f t="shared" si="118"/>
        <v>1</v>
      </c>
      <c r="AE152" s="12">
        <f t="shared" si="119"/>
        <v>1</v>
      </c>
      <c r="AF152" s="12">
        <f t="shared" si="120"/>
        <v>1</v>
      </c>
      <c r="AG152" s="12">
        <f t="shared" si="121"/>
        <v>1</v>
      </c>
      <c r="AH152" s="12">
        <f t="shared" si="122"/>
        <v>1</v>
      </c>
      <c r="AI152" s="12">
        <f t="shared" si="123"/>
        <v>1</v>
      </c>
      <c r="AJ152" s="12">
        <f t="shared" si="124"/>
        <v>1</v>
      </c>
      <c r="AK152" s="12">
        <f t="shared" si="125"/>
        <v>1</v>
      </c>
      <c r="AL152" s="12">
        <f t="shared" si="126"/>
        <v>1</v>
      </c>
      <c r="AM152" s="12">
        <f t="shared" si="100"/>
        <v>1</v>
      </c>
      <c r="AN152" s="12">
        <f t="shared" si="101"/>
        <v>1</v>
      </c>
      <c r="AO152" s="12">
        <f t="shared" si="102"/>
        <v>1</v>
      </c>
      <c r="AP152" s="12">
        <f t="shared" si="103"/>
        <v>1</v>
      </c>
      <c r="AQ152" s="12">
        <f t="shared" si="104"/>
        <v>1</v>
      </c>
      <c r="AR152" s="12">
        <f t="shared" si="105"/>
        <v>1</v>
      </c>
      <c r="AS152" s="12" cm="1">
        <f t="array" ref="AS152">IF(AND(H152&lt;&gt;"",SUMPRODUCT(--ISNUMBER(FIND({0;1;2;3;4;5;6;7;8;9},H152)))=0),1,0)</f>
        <v>1</v>
      </c>
      <c r="AT152" s="12" cm="1">
        <f t="array" ref="AT152">IF(AND(I152&lt;&gt;"",SUMPRODUCT(--ISNUMBER(FIND({0;1;2;3;4;5;6;7;8;9},I152)))=0),1,0)</f>
        <v>1</v>
      </c>
      <c r="AU152" s="12" cm="1">
        <f t="array" ref="AU152">IF(AND(J152&lt;&gt;"",SUMPRODUCT(--ISNUMBER(FIND({0;1;2;3;4;5;6;7;8;9},J152)))=0),1,0)</f>
        <v>1</v>
      </c>
      <c r="AV152" s="12">
        <f t="shared" si="127"/>
        <v>1</v>
      </c>
      <c r="AW152" s="12">
        <f t="shared" ca="1" si="106"/>
        <v>1</v>
      </c>
      <c r="AX152" s="12">
        <f t="shared" si="107"/>
        <v>1</v>
      </c>
      <c r="AY152" s="12">
        <f t="shared" si="108"/>
        <v>1</v>
      </c>
      <c r="AZ152" s="12">
        <f t="shared" si="109"/>
        <v>1</v>
      </c>
      <c r="BA152" s="12">
        <f t="shared" si="110"/>
        <v>1</v>
      </c>
      <c r="BB152" s="12">
        <f t="shared" si="111"/>
        <v>1</v>
      </c>
      <c r="BC152" s="12">
        <f t="shared" ca="1" si="112"/>
        <v>1</v>
      </c>
      <c r="BD152" s="12">
        <f t="shared" si="113"/>
        <v>1</v>
      </c>
      <c r="BE152" s="12">
        <f t="shared" si="114"/>
        <v>1</v>
      </c>
      <c r="BF152" s="12">
        <f t="shared" si="115"/>
        <v>1</v>
      </c>
      <c r="BG152" s="12">
        <f t="shared" ca="1" si="116"/>
        <v>1</v>
      </c>
    </row>
    <row r="153" spans="1:59" ht="15.75" customHeight="1" x14ac:dyDescent="0.2">
      <c r="A153" s="19">
        <f t="shared" si="90"/>
        <v>1</v>
      </c>
      <c r="B153" s="20">
        <f t="shared" si="91"/>
        <v>1</v>
      </c>
      <c r="C153" s="20">
        <f t="shared" ca="1" si="92"/>
        <v>1</v>
      </c>
      <c r="D153" s="50">
        <f t="shared" ca="1" si="117"/>
        <v>0</v>
      </c>
      <c r="E153" s="11" t="s">
        <v>653</v>
      </c>
      <c r="F153" s="11" t="s">
        <v>160</v>
      </c>
      <c r="G153" s="11">
        <v>1000000152</v>
      </c>
      <c r="H153" s="11" t="s">
        <v>242</v>
      </c>
      <c r="I153" s="11" t="s">
        <v>195</v>
      </c>
      <c r="J153" s="11" t="s">
        <v>184</v>
      </c>
      <c r="K153" s="11" t="s">
        <v>185</v>
      </c>
      <c r="L153" s="70">
        <v>37002</v>
      </c>
      <c r="M153" s="11" t="s">
        <v>654</v>
      </c>
      <c r="N153" s="11">
        <v>3659015515</v>
      </c>
      <c r="O153" s="11" t="s">
        <v>655</v>
      </c>
      <c r="P153" s="11" t="s">
        <v>165</v>
      </c>
      <c r="Q153" s="11" t="s">
        <v>156</v>
      </c>
      <c r="R153" s="68">
        <v>45807</v>
      </c>
      <c r="S153" s="11" t="s">
        <v>146</v>
      </c>
      <c r="T153" s="11" t="s">
        <v>166</v>
      </c>
      <c r="U153" s="11">
        <v>75000</v>
      </c>
      <c r="V153" s="68">
        <v>46001</v>
      </c>
      <c r="W153" s="12">
        <f t="shared" si="93"/>
        <v>1</v>
      </c>
      <c r="X153" s="12">
        <f t="shared" si="94"/>
        <v>1</v>
      </c>
      <c r="Y153" s="12">
        <f t="shared" si="95"/>
        <v>1</v>
      </c>
      <c r="Z153" s="12">
        <f t="shared" si="96"/>
        <v>1</v>
      </c>
      <c r="AA153" s="12">
        <f t="shared" si="97"/>
        <v>1</v>
      </c>
      <c r="AB153" s="12">
        <f t="shared" si="98"/>
        <v>1</v>
      </c>
      <c r="AC153" s="12">
        <f t="shared" si="99"/>
        <v>1</v>
      </c>
      <c r="AD153" s="12">
        <f t="shared" si="118"/>
        <v>1</v>
      </c>
      <c r="AE153" s="12">
        <f t="shared" si="119"/>
        <v>1</v>
      </c>
      <c r="AF153" s="12">
        <f t="shared" si="120"/>
        <v>1</v>
      </c>
      <c r="AG153" s="12">
        <f t="shared" si="121"/>
        <v>1</v>
      </c>
      <c r="AH153" s="12">
        <f t="shared" si="122"/>
        <v>1</v>
      </c>
      <c r="AI153" s="12">
        <f t="shared" si="123"/>
        <v>1</v>
      </c>
      <c r="AJ153" s="12">
        <f t="shared" si="124"/>
        <v>1</v>
      </c>
      <c r="AK153" s="12">
        <f t="shared" si="125"/>
        <v>1</v>
      </c>
      <c r="AL153" s="12">
        <f t="shared" si="126"/>
        <v>1</v>
      </c>
      <c r="AM153" s="12">
        <f t="shared" si="100"/>
        <v>1</v>
      </c>
      <c r="AN153" s="12">
        <f t="shared" si="101"/>
        <v>1</v>
      </c>
      <c r="AO153" s="12">
        <f t="shared" si="102"/>
        <v>1</v>
      </c>
      <c r="AP153" s="12">
        <f t="shared" si="103"/>
        <v>1</v>
      </c>
      <c r="AQ153" s="12">
        <f t="shared" si="104"/>
        <v>1</v>
      </c>
      <c r="AR153" s="12">
        <f t="shared" si="105"/>
        <v>1</v>
      </c>
      <c r="AS153" s="12" cm="1">
        <f t="array" ref="AS153">IF(AND(H153&lt;&gt;"",SUMPRODUCT(--ISNUMBER(FIND({0;1;2;3;4;5;6;7;8;9},H153)))=0),1,0)</f>
        <v>1</v>
      </c>
      <c r="AT153" s="12" cm="1">
        <f t="array" ref="AT153">IF(AND(I153&lt;&gt;"",SUMPRODUCT(--ISNUMBER(FIND({0;1;2;3;4;5;6;7;8;9},I153)))=0),1,0)</f>
        <v>1</v>
      </c>
      <c r="AU153" s="12" cm="1">
        <f t="array" ref="AU153">IF(AND(J153&lt;&gt;"",SUMPRODUCT(--ISNUMBER(FIND({0;1;2;3;4;5;6;7;8;9},J153)))=0),1,0)</f>
        <v>1</v>
      </c>
      <c r="AV153" s="12">
        <f t="shared" si="127"/>
        <v>1</v>
      </c>
      <c r="AW153" s="12">
        <f t="shared" ca="1" si="106"/>
        <v>1</v>
      </c>
      <c r="AX153" s="12">
        <f t="shared" si="107"/>
        <v>1</v>
      </c>
      <c r="AY153" s="12">
        <f t="shared" si="108"/>
        <v>1</v>
      </c>
      <c r="AZ153" s="12">
        <f t="shared" si="109"/>
        <v>1</v>
      </c>
      <c r="BA153" s="12">
        <f t="shared" si="110"/>
        <v>1</v>
      </c>
      <c r="BB153" s="12">
        <f t="shared" si="111"/>
        <v>1</v>
      </c>
      <c r="BC153" s="12">
        <f t="shared" ca="1" si="112"/>
        <v>1</v>
      </c>
      <c r="BD153" s="12">
        <f t="shared" si="113"/>
        <v>1</v>
      </c>
      <c r="BE153" s="12">
        <f t="shared" si="114"/>
        <v>1</v>
      </c>
      <c r="BF153" s="12">
        <f t="shared" si="115"/>
        <v>1</v>
      </c>
      <c r="BG153" s="12">
        <f t="shared" ca="1" si="116"/>
        <v>1</v>
      </c>
    </row>
    <row r="154" spans="1:59" ht="15.75" customHeight="1" x14ac:dyDescent="0.2">
      <c r="A154" s="19">
        <f t="shared" si="90"/>
        <v>1</v>
      </c>
      <c r="B154" s="20">
        <f t="shared" si="91"/>
        <v>1</v>
      </c>
      <c r="C154" s="20">
        <f t="shared" ca="1" si="92"/>
        <v>1</v>
      </c>
      <c r="D154" s="50">
        <f t="shared" ca="1" si="117"/>
        <v>0</v>
      </c>
      <c r="E154" s="11" t="s">
        <v>656</v>
      </c>
      <c r="F154" s="11" t="s">
        <v>149</v>
      </c>
      <c r="G154" s="11">
        <v>1000000153</v>
      </c>
      <c r="H154" s="11" t="s">
        <v>294</v>
      </c>
      <c r="I154" s="11" t="s">
        <v>139</v>
      </c>
      <c r="J154" s="11" t="s">
        <v>212</v>
      </c>
      <c r="K154" s="11" t="s">
        <v>185</v>
      </c>
      <c r="L154" s="70">
        <v>32495</v>
      </c>
      <c r="M154" s="11" t="s">
        <v>657</v>
      </c>
      <c r="N154" s="11">
        <v>3529719211</v>
      </c>
      <c r="O154" s="11" t="s">
        <v>658</v>
      </c>
      <c r="P154" s="11" t="s">
        <v>172</v>
      </c>
      <c r="Q154" s="11" t="s">
        <v>173</v>
      </c>
      <c r="R154" s="68">
        <v>46011</v>
      </c>
      <c r="S154" s="11" t="s">
        <v>174</v>
      </c>
      <c r="T154" s="11" t="s">
        <v>166</v>
      </c>
      <c r="U154" s="11">
        <v>95000</v>
      </c>
      <c r="V154" s="68">
        <v>46027</v>
      </c>
      <c r="W154" s="12">
        <f t="shared" si="93"/>
        <v>1</v>
      </c>
      <c r="X154" s="12">
        <f t="shared" si="94"/>
        <v>1</v>
      </c>
      <c r="Y154" s="12">
        <f t="shared" si="95"/>
        <v>1</v>
      </c>
      <c r="Z154" s="12">
        <f t="shared" si="96"/>
        <v>1</v>
      </c>
      <c r="AA154" s="12">
        <f t="shared" si="97"/>
        <v>1</v>
      </c>
      <c r="AB154" s="12">
        <f t="shared" si="98"/>
        <v>1</v>
      </c>
      <c r="AC154" s="12">
        <f t="shared" si="99"/>
        <v>1</v>
      </c>
      <c r="AD154" s="12">
        <f t="shared" si="118"/>
        <v>1</v>
      </c>
      <c r="AE154" s="12">
        <f t="shared" si="119"/>
        <v>1</v>
      </c>
      <c r="AF154" s="12">
        <f t="shared" si="120"/>
        <v>1</v>
      </c>
      <c r="AG154" s="12">
        <f t="shared" si="121"/>
        <v>1</v>
      </c>
      <c r="AH154" s="12">
        <f t="shared" si="122"/>
        <v>1</v>
      </c>
      <c r="AI154" s="12">
        <f t="shared" si="123"/>
        <v>1</v>
      </c>
      <c r="AJ154" s="12">
        <f t="shared" si="124"/>
        <v>1</v>
      </c>
      <c r="AK154" s="12">
        <f t="shared" si="125"/>
        <v>1</v>
      </c>
      <c r="AL154" s="12">
        <f t="shared" si="126"/>
        <v>1</v>
      </c>
      <c r="AM154" s="12">
        <f t="shared" si="100"/>
        <v>1</v>
      </c>
      <c r="AN154" s="12">
        <f t="shared" si="101"/>
        <v>1</v>
      </c>
      <c r="AO154" s="12">
        <f t="shared" si="102"/>
        <v>1</v>
      </c>
      <c r="AP154" s="12">
        <f t="shared" si="103"/>
        <v>1</v>
      </c>
      <c r="AQ154" s="12">
        <f t="shared" si="104"/>
        <v>1</v>
      </c>
      <c r="AR154" s="12">
        <f t="shared" si="105"/>
        <v>1</v>
      </c>
      <c r="AS154" s="12" cm="1">
        <f t="array" ref="AS154">IF(AND(H154&lt;&gt;"",SUMPRODUCT(--ISNUMBER(FIND({0;1;2;3;4;5;6;7;8;9},H154)))=0),1,0)</f>
        <v>1</v>
      </c>
      <c r="AT154" s="12" cm="1">
        <f t="array" ref="AT154">IF(AND(I154&lt;&gt;"",SUMPRODUCT(--ISNUMBER(FIND({0;1;2;3;4;5;6;7;8;9},I154)))=0),1,0)</f>
        <v>1</v>
      </c>
      <c r="AU154" s="12" cm="1">
        <f t="array" ref="AU154">IF(AND(J154&lt;&gt;"",SUMPRODUCT(--ISNUMBER(FIND({0;1;2;3;4;5;6;7;8;9},J154)))=0),1,0)</f>
        <v>1</v>
      </c>
      <c r="AV154" s="12">
        <f t="shared" si="127"/>
        <v>1</v>
      </c>
      <c r="AW154" s="12">
        <f t="shared" ca="1" si="106"/>
        <v>1</v>
      </c>
      <c r="AX154" s="12">
        <f t="shared" si="107"/>
        <v>1</v>
      </c>
      <c r="AY154" s="12">
        <f t="shared" si="108"/>
        <v>1</v>
      </c>
      <c r="AZ154" s="12">
        <f t="shared" si="109"/>
        <v>1</v>
      </c>
      <c r="BA154" s="12">
        <f t="shared" si="110"/>
        <v>1</v>
      </c>
      <c r="BB154" s="12">
        <f t="shared" si="111"/>
        <v>1</v>
      </c>
      <c r="BC154" s="12">
        <f t="shared" ca="1" si="112"/>
        <v>1</v>
      </c>
      <c r="BD154" s="12">
        <f t="shared" si="113"/>
        <v>1</v>
      </c>
      <c r="BE154" s="12">
        <f t="shared" si="114"/>
        <v>1</v>
      </c>
      <c r="BF154" s="12">
        <f t="shared" si="115"/>
        <v>1</v>
      </c>
      <c r="BG154" s="12">
        <f t="shared" ca="1" si="116"/>
        <v>1</v>
      </c>
    </row>
    <row r="155" spans="1:59" ht="15.75" customHeight="1" x14ac:dyDescent="0.2">
      <c r="A155" s="19">
        <f t="shared" si="90"/>
        <v>1</v>
      </c>
      <c r="B155" s="20">
        <f t="shared" si="91"/>
        <v>1</v>
      </c>
      <c r="C155" s="20">
        <f t="shared" ca="1" si="92"/>
        <v>1</v>
      </c>
      <c r="D155" s="50">
        <f t="shared" ca="1" si="117"/>
        <v>0</v>
      </c>
      <c r="E155" s="11" t="s">
        <v>659</v>
      </c>
      <c r="F155" s="11" t="s">
        <v>160</v>
      </c>
      <c r="G155" s="11">
        <v>1000000154</v>
      </c>
      <c r="H155" s="11" t="s">
        <v>150</v>
      </c>
      <c r="I155" s="11" t="s">
        <v>184</v>
      </c>
      <c r="J155" s="11" t="s">
        <v>184</v>
      </c>
      <c r="K155" s="11" t="s">
        <v>141</v>
      </c>
      <c r="L155" s="70">
        <v>26979</v>
      </c>
      <c r="M155" s="11" t="s">
        <v>660</v>
      </c>
      <c r="N155" s="11">
        <v>3212614630</v>
      </c>
      <c r="O155" s="11" t="s">
        <v>661</v>
      </c>
      <c r="P155" s="11" t="s">
        <v>172</v>
      </c>
      <c r="Q155" s="11" t="s">
        <v>173</v>
      </c>
      <c r="R155" s="68">
        <v>45199</v>
      </c>
      <c r="S155" s="11" t="s">
        <v>157</v>
      </c>
      <c r="T155" s="11" t="s">
        <v>166</v>
      </c>
      <c r="U155" s="11">
        <v>95000</v>
      </c>
      <c r="V155" s="68">
        <v>45230</v>
      </c>
      <c r="W155" s="12">
        <f t="shared" si="93"/>
        <v>1</v>
      </c>
      <c r="X155" s="12">
        <f t="shared" si="94"/>
        <v>1</v>
      </c>
      <c r="Y155" s="12">
        <f t="shared" si="95"/>
        <v>1</v>
      </c>
      <c r="Z155" s="12">
        <f t="shared" si="96"/>
        <v>1</v>
      </c>
      <c r="AA155" s="12">
        <f t="shared" si="97"/>
        <v>1</v>
      </c>
      <c r="AB155" s="12">
        <f t="shared" si="98"/>
        <v>1</v>
      </c>
      <c r="AC155" s="12">
        <f t="shared" si="99"/>
        <v>1</v>
      </c>
      <c r="AD155" s="12">
        <f t="shared" si="118"/>
        <v>1</v>
      </c>
      <c r="AE155" s="12">
        <f t="shared" si="119"/>
        <v>1</v>
      </c>
      <c r="AF155" s="12">
        <f t="shared" si="120"/>
        <v>1</v>
      </c>
      <c r="AG155" s="12">
        <f t="shared" si="121"/>
        <v>1</v>
      </c>
      <c r="AH155" s="12">
        <f t="shared" si="122"/>
        <v>1</v>
      </c>
      <c r="AI155" s="12">
        <f t="shared" si="123"/>
        <v>1</v>
      </c>
      <c r="AJ155" s="12">
        <f t="shared" si="124"/>
        <v>1</v>
      </c>
      <c r="AK155" s="12">
        <f t="shared" si="125"/>
        <v>1</v>
      </c>
      <c r="AL155" s="12">
        <f t="shared" si="126"/>
        <v>1</v>
      </c>
      <c r="AM155" s="12">
        <f t="shared" si="100"/>
        <v>1</v>
      </c>
      <c r="AN155" s="12">
        <f t="shared" si="101"/>
        <v>1</v>
      </c>
      <c r="AO155" s="12">
        <f t="shared" si="102"/>
        <v>1</v>
      </c>
      <c r="AP155" s="12">
        <f t="shared" si="103"/>
        <v>1</v>
      </c>
      <c r="AQ155" s="12">
        <f t="shared" si="104"/>
        <v>1</v>
      </c>
      <c r="AR155" s="12">
        <f t="shared" si="105"/>
        <v>1</v>
      </c>
      <c r="AS155" s="12" cm="1">
        <f t="array" ref="AS155">IF(AND(H155&lt;&gt;"",SUMPRODUCT(--ISNUMBER(FIND({0;1;2;3;4;5;6;7;8;9},H155)))=0),1,0)</f>
        <v>1</v>
      </c>
      <c r="AT155" s="12" cm="1">
        <f t="array" ref="AT155">IF(AND(I155&lt;&gt;"",SUMPRODUCT(--ISNUMBER(FIND({0;1;2;3;4;5;6;7;8;9},I155)))=0),1,0)</f>
        <v>1</v>
      </c>
      <c r="AU155" s="12" cm="1">
        <f t="array" ref="AU155">IF(AND(J155&lt;&gt;"",SUMPRODUCT(--ISNUMBER(FIND({0;1;2;3;4;5;6;7;8;9},J155)))=0),1,0)</f>
        <v>1</v>
      </c>
      <c r="AV155" s="12">
        <f t="shared" si="127"/>
        <v>1</v>
      </c>
      <c r="AW155" s="12">
        <f t="shared" ca="1" si="106"/>
        <v>1</v>
      </c>
      <c r="AX155" s="12">
        <f t="shared" si="107"/>
        <v>1</v>
      </c>
      <c r="AY155" s="12">
        <f t="shared" si="108"/>
        <v>1</v>
      </c>
      <c r="AZ155" s="12">
        <f t="shared" si="109"/>
        <v>1</v>
      </c>
      <c r="BA155" s="12">
        <f t="shared" si="110"/>
        <v>1</v>
      </c>
      <c r="BB155" s="12">
        <f t="shared" si="111"/>
        <v>1</v>
      </c>
      <c r="BC155" s="12">
        <f t="shared" ca="1" si="112"/>
        <v>1</v>
      </c>
      <c r="BD155" s="12">
        <f t="shared" si="113"/>
        <v>1</v>
      </c>
      <c r="BE155" s="12">
        <f t="shared" si="114"/>
        <v>1</v>
      </c>
      <c r="BF155" s="12">
        <f t="shared" si="115"/>
        <v>1</v>
      </c>
      <c r="BG155" s="12">
        <f t="shared" ca="1" si="116"/>
        <v>1</v>
      </c>
    </row>
    <row r="156" spans="1:59" ht="15.75" customHeight="1" x14ac:dyDescent="0.2">
      <c r="A156" s="19">
        <f t="shared" si="90"/>
        <v>1</v>
      </c>
      <c r="B156" s="20">
        <f t="shared" si="91"/>
        <v>1</v>
      </c>
      <c r="C156" s="20">
        <f t="shared" ca="1" si="92"/>
        <v>1</v>
      </c>
      <c r="D156" s="50">
        <f t="shared" ca="1" si="117"/>
        <v>0</v>
      </c>
      <c r="E156" s="11" t="s">
        <v>662</v>
      </c>
      <c r="F156" s="11" t="s">
        <v>149</v>
      </c>
      <c r="G156" s="11">
        <v>1000000155</v>
      </c>
      <c r="H156" s="11" t="s">
        <v>199</v>
      </c>
      <c r="I156" s="11" t="s">
        <v>183</v>
      </c>
      <c r="J156" s="11" t="s">
        <v>139</v>
      </c>
      <c r="K156" s="11" t="s">
        <v>185</v>
      </c>
      <c r="L156" s="70">
        <v>30980</v>
      </c>
      <c r="M156" s="11" t="s">
        <v>663</v>
      </c>
      <c r="N156" s="11">
        <v>3170524738</v>
      </c>
      <c r="O156" s="11" t="s">
        <v>664</v>
      </c>
      <c r="P156" s="11" t="s">
        <v>165</v>
      </c>
      <c r="Q156" s="11" t="s">
        <v>156</v>
      </c>
      <c r="R156" s="68">
        <v>45635</v>
      </c>
      <c r="S156" s="11" t="s">
        <v>157</v>
      </c>
      <c r="T156" s="11" t="s">
        <v>158</v>
      </c>
      <c r="U156" s="11">
        <v>75000</v>
      </c>
      <c r="V156" s="68">
        <v>45875</v>
      </c>
      <c r="W156" s="12">
        <f t="shared" si="93"/>
        <v>1</v>
      </c>
      <c r="X156" s="12">
        <f t="shared" si="94"/>
        <v>1</v>
      </c>
      <c r="Y156" s="12">
        <f t="shared" si="95"/>
        <v>1</v>
      </c>
      <c r="Z156" s="12">
        <f t="shared" si="96"/>
        <v>1</v>
      </c>
      <c r="AA156" s="12">
        <f t="shared" si="97"/>
        <v>1</v>
      </c>
      <c r="AB156" s="12">
        <f t="shared" si="98"/>
        <v>1</v>
      </c>
      <c r="AC156" s="12">
        <f t="shared" si="99"/>
        <v>1</v>
      </c>
      <c r="AD156" s="12">
        <f t="shared" si="118"/>
        <v>1</v>
      </c>
      <c r="AE156" s="12">
        <f t="shared" si="119"/>
        <v>1</v>
      </c>
      <c r="AF156" s="12">
        <f t="shared" si="120"/>
        <v>1</v>
      </c>
      <c r="AG156" s="12">
        <f t="shared" si="121"/>
        <v>1</v>
      </c>
      <c r="AH156" s="12">
        <f t="shared" si="122"/>
        <v>1</v>
      </c>
      <c r="AI156" s="12">
        <f t="shared" si="123"/>
        <v>1</v>
      </c>
      <c r="AJ156" s="12">
        <f t="shared" si="124"/>
        <v>1</v>
      </c>
      <c r="AK156" s="12">
        <f t="shared" si="125"/>
        <v>1</v>
      </c>
      <c r="AL156" s="12">
        <f t="shared" si="126"/>
        <v>1</v>
      </c>
      <c r="AM156" s="12">
        <f t="shared" si="100"/>
        <v>1</v>
      </c>
      <c r="AN156" s="12">
        <f t="shared" si="101"/>
        <v>1</v>
      </c>
      <c r="AO156" s="12">
        <f t="shared" si="102"/>
        <v>1</v>
      </c>
      <c r="AP156" s="12">
        <f t="shared" si="103"/>
        <v>1</v>
      </c>
      <c r="AQ156" s="12">
        <f t="shared" si="104"/>
        <v>1</v>
      </c>
      <c r="AR156" s="12">
        <f t="shared" si="105"/>
        <v>1</v>
      </c>
      <c r="AS156" s="12" cm="1">
        <f t="array" ref="AS156">IF(AND(H156&lt;&gt;"",SUMPRODUCT(--ISNUMBER(FIND({0;1;2;3;4;5;6;7;8;9},H156)))=0),1,0)</f>
        <v>1</v>
      </c>
      <c r="AT156" s="12" cm="1">
        <f t="array" ref="AT156">IF(AND(I156&lt;&gt;"",SUMPRODUCT(--ISNUMBER(FIND({0;1;2;3;4;5;6;7;8;9},I156)))=0),1,0)</f>
        <v>1</v>
      </c>
      <c r="AU156" s="12" cm="1">
        <f t="array" ref="AU156">IF(AND(J156&lt;&gt;"",SUMPRODUCT(--ISNUMBER(FIND({0;1;2;3;4;5;6;7;8;9},J156)))=0),1,0)</f>
        <v>1</v>
      </c>
      <c r="AV156" s="12">
        <f t="shared" si="127"/>
        <v>1</v>
      </c>
      <c r="AW156" s="12">
        <f t="shared" ca="1" si="106"/>
        <v>1</v>
      </c>
      <c r="AX156" s="12">
        <f t="shared" si="107"/>
        <v>1</v>
      </c>
      <c r="AY156" s="12">
        <f t="shared" si="108"/>
        <v>1</v>
      </c>
      <c r="AZ156" s="12">
        <f t="shared" si="109"/>
        <v>1</v>
      </c>
      <c r="BA156" s="12">
        <f t="shared" si="110"/>
        <v>1</v>
      </c>
      <c r="BB156" s="12">
        <f t="shared" si="111"/>
        <v>1</v>
      </c>
      <c r="BC156" s="12">
        <f t="shared" ca="1" si="112"/>
        <v>1</v>
      </c>
      <c r="BD156" s="12">
        <f t="shared" si="113"/>
        <v>1</v>
      </c>
      <c r="BE156" s="12">
        <f t="shared" si="114"/>
        <v>1</v>
      </c>
      <c r="BF156" s="12">
        <f t="shared" si="115"/>
        <v>1</v>
      </c>
      <c r="BG156" s="12">
        <f t="shared" ca="1" si="116"/>
        <v>1</v>
      </c>
    </row>
    <row r="157" spans="1:59" ht="15.75" customHeight="1" x14ac:dyDescent="0.2">
      <c r="A157" s="19">
        <f t="shared" si="90"/>
        <v>1</v>
      </c>
      <c r="B157" s="20">
        <f t="shared" si="91"/>
        <v>1</v>
      </c>
      <c r="C157" s="20">
        <f t="shared" ca="1" si="92"/>
        <v>1</v>
      </c>
      <c r="D157" s="50">
        <f t="shared" ca="1" si="117"/>
        <v>0</v>
      </c>
      <c r="E157" s="11" t="s">
        <v>665</v>
      </c>
      <c r="F157" s="11" t="s">
        <v>137</v>
      </c>
      <c r="G157" s="11">
        <v>1000000156</v>
      </c>
      <c r="H157" s="11" t="s">
        <v>251</v>
      </c>
      <c r="I157" s="11" t="s">
        <v>227</v>
      </c>
      <c r="J157" s="11" t="s">
        <v>221</v>
      </c>
      <c r="K157" s="11" t="s">
        <v>185</v>
      </c>
      <c r="L157" s="70">
        <v>28547</v>
      </c>
      <c r="M157" s="11" t="s">
        <v>666</v>
      </c>
      <c r="N157" s="11">
        <v>3819665835</v>
      </c>
      <c r="O157" s="11" t="s">
        <v>667</v>
      </c>
      <c r="P157" s="11" t="s">
        <v>248</v>
      </c>
      <c r="Q157" s="11" t="s">
        <v>249</v>
      </c>
      <c r="R157" s="68">
        <v>45643</v>
      </c>
      <c r="S157" s="11" t="s">
        <v>157</v>
      </c>
      <c r="T157" s="11" t="s">
        <v>166</v>
      </c>
      <c r="U157" s="11">
        <v>90000</v>
      </c>
      <c r="V157" s="68">
        <v>45833</v>
      </c>
      <c r="W157" s="12">
        <f t="shared" si="93"/>
        <v>1</v>
      </c>
      <c r="X157" s="12">
        <f t="shared" si="94"/>
        <v>1</v>
      </c>
      <c r="Y157" s="12">
        <f t="shared" si="95"/>
        <v>1</v>
      </c>
      <c r="Z157" s="12">
        <f t="shared" si="96"/>
        <v>1</v>
      </c>
      <c r="AA157" s="12">
        <f t="shared" si="97"/>
        <v>1</v>
      </c>
      <c r="AB157" s="12">
        <f t="shared" si="98"/>
        <v>1</v>
      </c>
      <c r="AC157" s="12">
        <f t="shared" si="99"/>
        <v>1</v>
      </c>
      <c r="AD157" s="12">
        <f t="shared" si="118"/>
        <v>1</v>
      </c>
      <c r="AE157" s="12">
        <f t="shared" si="119"/>
        <v>1</v>
      </c>
      <c r="AF157" s="12">
        <f t="shared" si="120"/>
        <v>1</v>
      </c>
      <c r="AG157" s="12">
        <f t="shared" si="121"/>
        <v>1</v>
      </c>
      <c r="AH157" s="12">
        <f t="shared" si="122"/>
        <v>1</v>
      </c>
      <c r="AI157" s="12">
        <f t="shared" si="123"/>
        <v>1</v>
      </c>
      <c r="AJ157" s="12">
        <f t="shared" si="124"/>
        <v>1</v>
      </c>
      <c r="AK157" s="12">
        <f t="shared" si="125"/>
        <v>1</v>
      </c>
      <c r="AL157" s="12">
        <f t="shared" si="126"/>
        <v>1</v>
      </c>
      <c r="AM157" s="12">
        <f t="shared" si="100"/>
        <v>1</v>
      </c>
      <c r="AN157" s="12">
        <f t="shared" si="101"/>
        <v>1</v>
      </c>
      <c r="AO157" s="12">
        <f t="shared" si="102"/>
        <v>1</v>
      </c>
      <c r="AP157" s="12">
        <f t="shared" si="103"/>
        <v>1</v>
      </c>
      <c r="AQ157" s="12">
        <f t="shared" si="104"/>
        <v>1</v>
      </c>
      <c r="AR157" s="12">
        <f t="shared" si="105"/>
        <v>1</v>
      </c>
      <c r="AS157" s="12" cm="1">
        <f t="array" ref="AS157">IF(AND(H157&lt;&gt;"",SUMPRODUCT(--ISNUMBER(FIND({0;1;2;3;4;5;6;7;8;9},H157)))=0),1,0)</f>
        <v>1</v>
      </c>
      <c r="AT157" s="12" cm="1">
        <f t="array" ref="AT157">IF(AND(I157&lt;&gt;"",SUMPRODUCT(--ISNUMBER(FIND({0;1;2;3;4;5;6;7;8;9},I157)))=0),1,0)</f>
        <v>1</v>
      </c>
      <c r="AU157" s="12" cm="1">
        <f t="array" ref="AU157">IF(AND(J157&lt;&gt;"",SUMPRODUCT(--ISNUMBER(FIND({0;1;2;3;4;5;6;7;8;9},J157)))=0),1,0)</f>
        <v>1</v>
      </c>
      <c r="AV157" s="12">
        <f t="shared" si="127"/>
        <v>1</v>
      </c>
      <c r="AW157" s="12">
        <f t="shared" ca="1" si="106"/>
        <v>1</v>
      </c>
      <c r="AX157" s="12">
        <f t="shared" si="107"/>
        <v>1</v>
      </c>
      <c r="AY157" s="12">
        <f t="shared" si="108"/>
        <v>1</v>
      </c>
      <c r="AZ157" s="12">
        <f t="shared" si="109"/>
        <v>1</v>
      </c>
      <c r="BA157" s="12">
        <f t="shared" si="110"/>
        <v>1</v>
      </c>
      <c r="BB157" s="12">
        <f t="shared" si="111"/>
        <v>1</v>
      </c>
      <c r="BC157" s="12">
        <f t="shared" ca="1" si="112"/>
        <v>1</v>
      </c>
      <c r="BD157" s="12">
        <f t="shared" si="113"/>
        <v>1</v>
      </c>
      <c r="BE157" s="12">
        <f t="shared" si="114"/>
        <v>1</v>
      </c>
      <c r="BF157" s="12">
        <f t="shared" si="115"/>
        <v>1</v>
      </c>
      <c r="BG157" s="12">
        <f t="shared" ca="1" si="116"/>
        <v>1</v>
      </c>
    </row>
    <row r="158" spans="1:59" ht="15.75" customHeight="1" x14ac:dyDescent="0.2">
      <c r="A158" s="19">
        <f t="shared" si="90"/>
        <v>1</v>
      </c>
      <c r="B158" s="20">
        <f t="shared" si="91"/>
        <v>1</v>
      </c>
      <c r="C158" s="20">
        <f t="shared" ca="1" si="92"/>
        <v>1</v>
      </c>
      <c r="D158" s="50">
        <f t="shared" ca="1" si="117"/>
        <v>0</v>
      </c>
      <c r="E158" s="11" t="s">
        <v>668</v>
      </c>
      <c r="F158" s="11" t="s">
        <v>149</v>
      </c>
      <c r="G158" s="11">
        <v>1000000157</v>
      </c>
      <c r="H158" s="11" t="s">
        <v>207</v>
      </c>
      <c r="I158" s="11" t="s">
        <v>227</v>
      </c>
      <c r="J158" s="11" t="s">
        <v>151</v>
      </c>
      <c r="K158" s="11" t="s">
        <v>141</v>
      </c>
      <c r="L158" s="70">
        <v>38217</v>
      </c>
      <c r="M158" s="11" t="s">
        <v>669</v>
      </c>
      <c r="N158" s="11">
        <v>3103267081</v>
      </c>
      <c r="O158" s="11" t="s">
        <v>670</v>
      </c>
      <c r="P158" s="11" t="s">
        <v>217</v>
      </c>
      <c r="Q158" s="11" t="s">
        <v>218</v>
      </c>
      <c r="R158" s="68">
        <v>44717</v>
      </c>
      <c r="S158" s="11" t="s">
        <v>157</v>
      </c>
      <c r="T158" s="11" t="s">
        <v>166</v>
      </c>
      <c r="U158" s="11">
        <v>90000</v>
      </c>
      <c r="V158" s="68">
        <v>44937</v>
      </c>
      <c r="W158" s="12">
        <f t="shared" si="93"/>
        <v>1</v>
      </c>
      <c r="X158" s="12">
        <f t="shared" si="94"/>
        <v>1</v>
      </c>
      <c r="Y158" s="12">
        <f t="shared" si="95"/>
        <v>1</v>
      </c>
      <c r="Z158" s="12">
        <f t="shared" si="96"/>
        <v>1</v>
      </c>
      <c r="AA158" s="12">
        <f t="shared" si="97"/>
        <v>1</v>
      </c>
      <c r="AB158" s="12">
        <f t="shared" si="98"/>
        <v>1</v>
      </c>
      <c r="AC158" s="12">
        <f t="shared" si="99"/>
        <v>1</v>
      </c>
      <c r="AD158" s="12">
        <f t="shared" si="118"/>
        <v>1</v>
      </c>
      <c r="AE158" s="12">
        <f t="shared" si="119"/>
        <v>1</v>
      </c>
      <c r="AF158" s="12">
        <f t="shared" si="120"/>
        <v>1</v>
      </c>
      <c r="AG158" s="12">
        <f t="shared" si="121"/>
        <v>1</v>
      </c>
      <c r="AH158" s="12">
        <f t="shared" si="122"/>
        <v>1</v>
      </c>
      <c r="AI158" s="12">
        <f t="shared" si="123"/>
        <v>1</v>
      </c>
      <c r="AJ158" s="12">
        <f t="shared" si="124"/>
        <v>1</v>
      </c>
      <c r="AK158" s="12">
        <f t="shared" si="125"/>
        <v>1</v>
      </c>
      <c r="AL158" s="12">
        <f t="shared" si="126"/>
        <v>1</v>
      </c>
      <c r="AM158" s="12">
        <f t="shared" si="100"/>
        <v>1</v>
      </c>
      <c r="AN158" s="12">
        <f t="shared" si="101"/>
        <v>1</v>
      </c>
      <c r="AO158" s="12">
        <f t="shared" si="102"/>
        <v>1</v>
      </c>
      <c r="AP158" s="12">
        <f t="shared" si="103"/>
        <v>1</v>
      </c>
      <c r="AQ158" s="12">
        <f t="shared" si="104"/>
        <v>1</v>
      </c>
      <c r="AR158" s="12">
        <f t="shared" si="105"/>
        <v>1</v>
      </c>
      <c r="AS158" s="12" cm="1">
        <f t="array" ref="AS158">IF(AND(H158&lt;&gt;"",SUMPRODUCT(--ISNUMBER(FIND({0;1;2;3;4;5;6;7;8;9},H158)))=0),1,0)</f>
        <v>1</v>
      </c>
      <c r="AT158" s="12" cm="1">
        <f t="array" ref="AT158">IF(AND(I158&lt;&gt;"",SUMPRODUCT(--ISNUMBER(FIND({0;1;2;3;4;5;6;7;8;9},I158)))=0),1,0)</f>
        <v>1</v>
      </c>
      <c r="AU158" s="12" cm="1">
        <f t="array" ref="AU158">IF(AND(J158&lt;&gt;"",SUMPRODUCT(--ISNUMBER(FIND({0;1;2;3;4;5;6;7;8;9},J158)))=0),1,0)</f>
        <v>1</v>
      </c>
      <c r="AV158" s="12">
        <f t="shared" si="127"/>
        <v>1</v>
      </c>
      <c r="AW158" s="12">
        <f t="shared" ca="1" si="106"/>
        <v>1</v>
      </c>
      <c r="AX158" s="12">
        <f t="shared" si="107"/>
        <v>1</v>
      </c>
      <c r="AY158" s="12">
        <f t="shared" si="108"/>
        <v>1</v>
      </c>
      <c r="AZ158" s="12">
        <f t="shared" si="109"/>
        <v>1</v>
      </c>
      <c r="BA158" s="12">
        <f t="shared" si="110"/>
        <v>1</v>
      </c>
      <c r="BB158" s="12">
        <f t="shared" si="111"/>
        <v>1</v>
      </c>
      <c r="BC158" s="12">
        <f t="shared" ca="1" si="112"/>
        <v>1</v>
      </c>
      <c r="BD158" s="12">
        <f t="shared" si="113"/>
        <v>1</v>
      </c>
      <c r="BE158" s="12">
        <f t="shared" si="114"/>
        <v>1</v>
      </c>
      <c r="BF158" s="12">
        <f t="shared" si="115"/>
        <v>1</v>
      </c>
      <c r="BG158" s="12">
        <f t="shared" ca="1" si="116"/>
        <v>1</v>
      </c>
    </row>
    <row r="159" spans="1:59" ht="15.75" customHeight="1" x14ac:dyDescent="0.2">
      <c r="A159" s="19">
        <f t="shared" si="90"/>
        <v>1</v>
      </c>
      <c r="B159" s="20">
        <f t="shared" si="91"/>
        <v>1</v>
      </c>
      <c r="C159" s="20">
        <f t="shared" ca="1" si="92"/>
        <v>1</v>
      </c>
      <c r="D159" s="50">
        <f t="shared" ca="1" si="117"/>
        <v>0</v>
      </c>
      <c r="E159" s="11" t="s">
        <v>671</v>
      </c>
      <c r="F159" s="11" t="s">
        <v>149</v>
      </c>
      <c r="G159" s="11">
        <v>1000000158</v>
      </c>
      <c r="H159" s="11" t="s">
        <v>211</v>
      </c>
      <c r="I159" s="11" t="s">
        <v>183</v>
      </c>
      <c r="J159" s="11" t="s">
        <v>139</v>
      </c>
      <c r="K159" s="11" t="s">
        <v>141</v>
      </c>
      <c r="L159" s="70">
        <v>25090</v>
      </c>
      <c r="M159" s="11" t="s">
        <v>672</v>
      </c>
      <c r="N159" s="11">
        <v>3521933294</v>
      </c>
      <c r="O159" s="11" t="s">
        <v>673</v>
      </c>
      <c r="P159" s="11" t="s">
        <v>224</v>
      </c>
      <c r="Q159" s="11" t="s">
        <v>225</v>
      </c>
      <c r="R159" s="68">
        <v>45590</v>
      </c>
      <c r="S159" s="11" t="s">
        <v>157</v>
      </c>
      <c r="T159" s="11" t="s">
        <v>147</v>
      </c>
      <c r="U159" s="11">
        <v>90000</v>
      </c>
      <c r="V159" s="68">
        <v>45954</v>
      </c>
      <c r="W159" s="12">
        <f t="shared" si="93"/>
        <v>1</v>
      </c>
      <c r="X159" s="12">
        <f t="shared" si="94"/>
        <v>1</v>
      </c>
      <c r="Y159" s="12">
        <f t="shared" si="95"/>
        <v>1</v>
      </c>
      <c r="Z159" s="12">
        <f t="shared" si="96"/>
        <v>1</v>
      </c>
      <c r="AA159" s="12">
        <f t="shared" si="97"/>
        <v>1</v>
      </c>
      <c r="AB159" s="12">
        <f t="shared" si="98"/>
        <v>1</v>
      </c>
      <c r="AC159" s="12">
        <f t="shared" si="99"/>
        <v>1</v>
      </c>
      <c r="AD159" s="12">
        <f t="shared" si="118"/>
        <v>1</v>
      </c>
      <c r="AE159" s="12">
        <f t="shared" si="119"/>
        <v>1</v>
      </c>
      <c r="AF159" s="12">
        <f t="shared" si="120"/>
        <v>1</v>
      </c>
      <c r="AG159" s="12">
        <f t="shared" si="121"/>
        <v>1</v>
      </c>
      <c r="AH159" s="12">
        <f t="shared" si="122"/>
        <v>1</v>
      </c>
      <c r="AI159" s="12">
        <f t="shared" si="123"/>
        <v>1</v>
      </c>
      <c r="AJ159" s="12">
        <f t="shared" si="124"/>
        <v>1</v>
      </c>
      <c r="AK159" s="12">
        <f t="shared" si="125"/>
        <v>1</v>
      </c>
      <c r="AL159" s="12">
        <f t="shared" si="126"/>
        <v>1</v>
      </c>
      <c r="AM159" s="12">
        <f t="shared" si="100"/>
        <v>1</v>
      </c>
      <c r="AN159" s="12">
        <f t="shared" si="101"/>
        <v>1</v>
      </c>
      <c r="AO159" s="12">
        <f t="shared" si="102"/>
        <v>1</v>
      </c>
      <c r="AP159" s="12">
        <f t="shared" si="103"/>
        <v>1</v>
      </c>
      <c r="AQ159" s="12">
        <f t="shared" si="104"/>
        <v>1</v>
      </c>
      <c r="AR159" s="12">
        <f t="shared" si="105"/>
        <v>1</v>
      </c>
      <c r="AS159" s="12" cm="1">
        <f t="array" ref="AS159">IF(AND(H159&lt;&gt;"",SUMPRODUCT(--ISNUMBER(FIND({0;1;2;3;4;5;6;7;8;9},H159)))=0),1,0)</f>
        <v>1</v>
      </c>
      <c r="AT159" s="12" cm="1">
        <f t="array" ref="AT159">IF(AND(I159&lt;&gt;"",SUMPRODUCT(--ISNUMBER(FIND({0;1;2;3;4;5;6;7;8;9},I159)))=0),1,0)</f>
        <v>1</v>
      </c>
      <c r="AU159" s="12" cm="1">
        <f t="array" ref="AU159">IF(AND(J159&lt;&gt;"",SUMPRODUCT(--ISNUMBER(FIND({0;1;2;3;4;5;6;7;8;9},J159)))=0),1,0)</f>
        <v>1</v>
      </c>
      <c r="AV159" s="12">
        <f t="shared" si="127"/>
        <v>1</v>
      </c>
      <c r="AW159" s="12">
        <f t="shared" ca="1" si="106"/>
        <v>1</v>
      </c>
      <c r="AX159" s="12">
        <f t="shared" si="107"/>
        <v>1</v>
      </c>
      <c r="AY159" s="12">
        <f t="shared" si="108"/>
        <v>1</v>
      </c>
      <c r="AZ159" s="12">
        <f t="shared" si="109"/>
        <v>1</v>
      </c>
      <c r="BA159" s="12">
        <f t="shared" si="110"/>
        <v>1</v>
      </c>
      <c r="BB159" s="12">
        <f t="shared" si="111"/>
        <v>1</v>
      </c>
      <c r="BC159" s="12">
        <f t="shared" ca="1" si="112"/>
        <v>1</v>
      </c>
      <c r="BD159" s="12">
        <f t="shared" si="113"/>
        <v>1</v>
      </c>
      <c r="BE159" s="12">
        <f t="shared" si="114"/>
        <v>1</v>
      </c>
      <c r="BF159" s="12">
        <f t="shared" si="115"/>
        <v>1</v>
      </c>
      <c r="BG159" s="12">
        <f t="shared" ca="1" si="116"/>
        <v>1</v>
      </c>
    </row>
    <row r="160" spans="1:59" ht="15.75" customHeight="1" x14ac:dyDescent="0.2">
      <c r="A160" s="19">
        <f t="shared" si="90"/>
        <v>1</v>
      </c>
      <c r="B160" s="20">
        <f t="shared" si="91"/>
        <v>1</v>
      </c>
      <c r="C160" s="20">
        <f t="shared" ca="1" si="92"/>
        <v>1</v>
      </c>
      <c r="D160" s="50">
        <f t="shared" ca="1" si="117"/>
        <v>0</v>
      </c>
      <c r="E160" s="11" t="s">
        <v>674</v>
      </c>
      <c r="F160" s="11" t="s">
        <v>137</v>
      </c>
      <c r="G160" s="11">
        <v>1000000159</v>
      </c>
      <c r="H160" s="11" t="s">
        <v>193</v>
      </c>
      <c r="I160" s="11" t="s">
        <v>194</v>
      </c>
      <c r="J160" s="11" t="s">
        <v>267</v>
      </c>
      <c r="K160" s="11" t="s">
        <v>185</v>
      </c>
      <c r="L160" s="70">
        <v>34879</v>
      </c>
      <c r="M160" s="11" t="s">
        <v>675</v>
      </c>
      <c r="N160" s="11">
        <v>3402276872</v>
      </c>
      <c r="O160" s="11" t="s">
        <v>676</v>
      </c>
      <c r="P160" s="11" t="s">
        <v>248</v>
      </c>
      <c r="Q160" s="11" t="s">
        <v>249</v>
      </c>
      <c r="R160" s="68">
        <v>46029</v>
      </c>
      <c r="S160" s="11" t="s">
        <v>157</v>
      </c>
      <c r="T160" s="11" t="s">
        <v>158</v>
      </c>
      <c r="U160" s="11">
        <v>95000</v>
      </c>
      <c r="V160" s="68">
        <v>46070</v>
      </c>
      <c r="W160" s="12">
        <f t="shared" si="93"/>
        <v>1</v>
      </c>
      <c r="X160" s="12">
        <f t="shared" si="94"/>
        <v>1</v>
      </c>
      <c r="Y160" s="12">
        <f t="shared" si="95"/>
        <v>1</v>
      </c>
      <c r="Z160" s="12">
        <f t="shared" si="96"/>
        <v>1</v>
      </c>
      <c r="AA160" s="12">
        <f t="shared" si="97"/>
        <v>1</v>
      </c>
      <c r="AB160" s="12">
        <f t="shared" si="98"/>
        <v>1</v>
      </c>
      <c r="AC160" s="12">
        <f t="shared" si="99"/>
        <v>1</v>
      </c>
      <c r="AD160" s="12">
        <f t="shared" si="118"/>
        <v>1</v>
      </c>
      <c r="AE160" s="12">
        <f t="shared" si="119"/>
        <v>1</v>
      </c>
      <c r="AF160" s="12">
        <f t="shared" si="120"/>
        <v>1</v>
      </c>
      <c r="AG160" s="12">
        <f t="shared" si="121"/>
        <v>1</v>
      </c>
      <c r="AH160" s="12">
        <f t="shared" si="122"/>
        <v>1</v>
      </c>
      <c r="AI160" s="12">
        <f t="shared" si="123"/>
        <v>1</v>
      </c>
      <c r="AJ160" s="12">
        <f t="shared" si="124"/>
        <v>1</v>
      </c>
      <c r="AK160" s="12">
        <f t="shared" si="125"/>
        <v>1</v>
      </c>
      <c r="AL160" s="12">
        <f t="shared" si="126"/>
        <v>1</v>
      </c>
      <c r="AM160" s="12">
        <f t="shared" si="100"/>
        <v>1</v>
      </c>
      <c r="AN160" s="12">
        <f t="shared" si="101"/>
        <v>1</v>
      </c>
      <c r="AO160" s="12">
        <f t="shared" si="102"/>
        <v>1</v>
      </c>
      <c r="AP160" s="12">
        <f t="shared" si="103"/>
        <v>1</v>
      </c>
      <c r="AQ160" s="12">
        <f t="shared" si="104"/>
        <v>1</v>
      </c>
      <c r="AR160" s="12">
        <f t="shared" si="105"/>
        <v>1</v>
      </c>
      <c r="AS160" s="12" cm="1">
        <f t="array" ref="AS160">IF(AND(H160&lt;&gt;"",SUMPRODUCT(--ISNUMBER(FIND({0;1;2;3;4;5;6;7;8;9},H160)))=0),1,0)</f>
        <v>1</v>
      </c>
      <c r="AT160" s="12" cm="1">
        <f t="array" ref="AT160">IF(AND(I160&lt;&gt;"",SUMPRODUCT(--ISNUMBER(FIND({0;1;2;3;4;5;6;7;8;9},I160)))=0),1,0)</f>
        <v>1</v>
      </c>
      <c r="AU160" s="12" cm="1">
        <f t="array" ref="AU160">IF(AND(J160&lt;&gt;"",SUMPRODUCT(--ISNUMBER(FIND({0;1;2;3;4;5;6;7;8;9},J160)))=0),1,0)</f>
        <v>1</v>
      </c>
      <c r="AV160" s="12">
        <f t="shared" si="127"/>
        <v>1</v>
      </c>
      <c r="AW160" s="12">
        <f t="shared" ca="1" si="106"/>
        <v>1</v>
      </c>
      <c r="AX160" s="12">
        <f t="shared" si="107"/>
        <v>1</v>
      </c>
      <c r="AY160" s="12">
        <f t="shared" si="108"/>
        <v>1</v>
      </c>
      <c r="AZ160" s="12">
        <f t="shared" si="109"/>
        <v>1</v>
      </c>
      <c r="BA160" s="12">
        <f t="shared" si="110"/>
        <v>1</v>
      </c>
      <c r="BB160" s="12">
        <f t="shared" si="111"/>
        <v>1</v>
      </c>
      <c r="BC160" s="12">
        <f t="shared" ca="1" si="112"/>
        <v>1</v>
      </c>
      <c r="BD160" s="12">
        <f t="shared" si="113"/>
        <v>1</v>
      </c>
      <c r="BE160" s="12">
        <f t="shared" si="114"/>
        <v>1</v>
      </c>
      <c r="BF160" s="12">
        <f t="shared" si="115"/>
        <v>1</v>
      </c>
      <c r="BG160" s="12">
        <f t="shared" ca="1" si="116"/>
        <v>1</v>
      </c>
    </row>
    <row r="161" spans="1:59" ht="15.75" customHeight="1" x14ac:dyDescent="0.2">
      <c r="A161" s="19">
        <f t="shared" si="90"/>
        <v>1</v>
      </c>
      <c r="B161" s="20">
        <f t="shared" si="91"/>
        <v>1</v>
      </c>
      <c r="C161" s="20">
        <f t="shared" ca="1" si="92"/>
        <v>1</v>
      </c>
      <c r="D161" s="50">
        <f t="shared" ca="1" si="117"/>
        <v>0</v>
      </c>
      <c r="E161" s="11" t="s">
        <v>677</v>
      </c>
      <c r="F161" s="11" t="s">
        <v>137</v>
      </c>
      <c r="G161" s="11">
        <v>1000000160</v>
      </c>
      <c r="H161" s="11" t="s">
        <v>386</v>
      </c>
      <c r="I161" s="11" t="s">
        <v>140</v>
      </c>
      <c r="J161" s="11" t="s">
        <v>231</v>
      </c>
      <c r="K161" s="11" t="s">
        <v>141</v>
      </c>
      <c r="L161" s="70">
        <v>33661</v>
      </c>
      <c r="M161" s="11" t="s">
        <v>678</v>
      </c>
      <c r="N161" s="11">
        <v>3220494752</v>
      </c>
      <c r="O161" s="11" t="s">
        <v>679</v>
      </c>
      <c r="P161" s="11" t="s">
        <v>172</v>
      </c>
      <c r="Q161" s="11" t="s">
        <v>173</v>
      </c>
      <c r="R161" s="68">
        <v>45816</v>
      </c>
      <c r="S161" s="11" t="s">
        <v>146</v>
      </c>
      <c r="T161" s="11" t="s">
        <v>158</v>
      </c>
      <c r="U161" s="11">
        <v>95000</v>
      </c>
      <c r="V161" s="68">
        <v>46169</v>
      </c>
      <c r="W161" s="12">
        <f t="shared" si="93"/>
        <v>1</v>
      </c>
      <c r="X161" s="12">
        <f t="shared" si="94"/>
        <v>1</v>
      </c>
      <c r="Y161" s="12">
        <f t="shared" si="95"/>
        <v>1</v>
      </c>
      <c r="Z161" s="12">
        <f t="shared" si="96"/>
        <v>1</v>
      </c>
      <c r="AA161" s="12">
        <f t="shared" si="97"/>
        <v>1</v>
      </c>
      <c r="AB161" s="12">
        <f t="shared" si="98"/>
        <v>1</v>
      </c>
      <c r="AC161" s="12">
        <f t="shared" si="99"/>
        <v>1</v>
      </c>
      <c r="AD161" s="12">
        <f t="shared" si="118"/>
        <v>1</v>
      </c>
      <c r="AE161" s="12">
        <f t="shared" si="119"/>
        <v>1</v>
      </c>
      <c r="AF161" s="12">
        <f t="shared" si="120"/>
        <v>1</v>
      </c>
      <c r="AG161" s="12">
        <f t="shared" si="121"/>
        <v>1</v>
      </c>
      <c r="AH161" s="12">
        <f t="shared" si="122"/>
        <v>1</v>
      </c>
      <c r="AI161" s="12">
        <f t="shared" si="123"/>
        <v>1</v>
      </c>
      <c r="AJ161" s="12">
        <f t="shared" si="124"/>
        <v>1</v>
      </c>
      <c r="AK161" s="12">
        <f t="shared" si="125"/>
        <v>1</v>
      </c>
      <c r="AL161" s="12">
        <f t="shared" si="126"/>
        <v>1</v>
      </c>
      <c r="AM161" s="12">
        <f t="shared" si="100"/>
        <v>1</v>
      </c>
      <c r="AN161" s="12">
        <f t="shared" si="101"/>
        <v>1</v>
      </c>
      <c r="AO161" s="12">
        <f t="shared" si="102"/>
        <v>1</v>
      </c>
      <c r="AP161" s="12">
        <f t="shared" si="103"/>
        <v>1</v>
      </c>
      <c r="AQ161" s="12">
        <f t="shared" si="104"/>
        <v>1</v>
      </c>
      <c r="AR161" s="12">
        <f t="shared" si="105"/>
        <v>1</v>
      </c>
      <c r="AS161" s="12" cm="1">
        <f t="array" ref="AS161">IF(AND(H161&lt;&gt;"",SUMPRODUCT(--ISNUMBER(FIND({0;1;2;3;4;5;6;7;8;9},H161)))=0),1,0)</f>
        <v>1</v>
      </c>
      <c r="AT161" s="12" cm="1">
        <f t="array" ref="AT161">IF(AND(I161&lt;&gt;"",SUMPRODUCT(--ISNUMBER(FIND({0;1;2;3;4;5;6;7;8;9},I161)))=0),1,0)</f>
        <v>1</v>
      </c>
      <c r="AU161" s="12" cm="1">
        <f t="array" ref="AU161">IF(AND(J161&lt;&gt;"",SUMPRODUCT(--ISNUMBER(FIND({0;1;2;3;4;5;6;7;8;9},J161)))=0),1,0)</f>
        <v>1</v>
      </c>
      <c r="AV161" s="12">
        <f t="shared" si="127"/>
        <v>1</v>
      </c>
      <c r="AW161" s="12">
        <f t="shared" ca="1" si="106"/>
        <v>1</v>
      </c>
      <c r="AX161" s="12">
        <f t="shared" si="107"/>
        <v>1</v>
      </c>
      <c r="AY161" s="12">
        <f t="shared" si="108"/>
        <v>1</v>
      </c>
      <c r="AZ161" s="12">
        <f t="shared" si="109"/>
        <v>1</v>
      </c>
      <c r="BA161" s="12">
        <f t="shared" si="110"/>
        <v>1</v>
      </c>
      <c r="BB161" s="12">
        <f t="shared" si="111"/>
        <v>1</v>
      </c>
      <c r="BC161" s="12">
        <f t="shared" ca="1" si="112"/>
        <v>1</v>
      </c>
      <c r="BD161" s="12">
        <f t="shared" si="113"/>
        <v>1</v>
      </c>
      <c r="BE161" s="12">
        <f t="shared" si="114"/>
        <v>1</v>
      </c>
      <c r="BF161" s="12">
        <f t="shared" si="115"/>
        <v>1</v>
      </c>
      <c r="BG161" s="12">
        <f t="shared" ca="1" si="116"/>
        <v>1</v>
      </c>
    </row>
    <row r="162" spans="1:59" ht="15.75" customHeight="1" x14ac:dyDescent="0.2">
      <c r="A162" s="19">
        <f t="shared" si="90"/>
        <v>1</v>
      </c>
      <c r="B162" s="20">
        <f t="shared" si="91"/>
        <v>1</v>
      </c>
      <c r="C162" s="20">
        <f t="shared" ca="1" si="92"/>
        <v>1</v>
      </c>
      <c r="D162" s="50">
        <f t="shared" ca="1" si="117"/>
        <v>0</v>
      </c>
      <c r="E162" s="11" t="s">
        <v>680</v>
      </c>
      <c r="F162" s="11" t="s">
        <v>137</v>
      </c>
      <c r="G162" s="11">
        <v>1000000161</v>
      </c>
      <c r="H162" s="11" t="s">
        <v>161</v>
      </c>
      <c r="I162" s="11" t="s">
        <v>151</v>
      </c>
      <c r="J162" s="11" t="s">
        <v>140</v>
      </c>
      <c r="K162" s="11" t="s">
        <v>141</v>
      </c>
      <c r="L162" s="70">
        <v>29141</v>
      </c>
      <c r="M162" s="11" t="s">
        <v>681</v>
      </c>
      <c r="N162" s="11">
        <v>3814866931</v>
      </c>
      <c r="O162" s="11" t="s">
        <v>682</v>
      </c>
      <c r="P162" s="11" t="s">
        <v>179</v>
      </c>
      <c r="Q162" s="11" t="s">
        <v>180</v>
      </c>
      <c r="R162" s="68">
        <v>45361</v>
      </c>
      <c r="S162" s="11" t="s">
        <v>157</v>
      </c>
      <c r="T162" s="11" t="s">
        <v>147</v>
      </c>
      <c r="U162" s="11">
        <v>95000</v>
      </c>
      <c r="V162" s="68">
        <v>45611</v>
      </c>
      <c r="W162" s="12">
        <f t="shared" si="93"/>
        <v>1</v>
      </c>
      <c r="X162" s="12">
        <f t="shared" si="94"/>
        <v>1</v>
      </c>
      <c r="Y162" s="12">
        <f t="shared" si="95"/>
        <v>1</v>
      </c>
      <c r="Z162" s="12">
        <f t="shared" si="96"/>
        <v>1</v>
      </c>
      <c r="AA162" s="12">
        <f t="shared" si="97"/>
        <v>1</v>
      </c>
      <c r="AB162" s="12">
        <f t="shared" si="98"/>
        <v>1</v>
      </c>
      <c r="AC162" s="12">
        <f t="shared" si="99"/>
        <v>1</v>
      </c>
      <c r="AD162" s="12">
        <f t="shared" si="118"/>
        <v>1</v>
      </c>
      <c r="AE162" s="12">
        <f t="shared" si="119"/>
        <v>1</v>
      </c>
      <c r="AF162" s="12">
        <f t="shared" si="120"/>
        <v>1</v>
      </c>
      <c r="AG162" s="12">
        <f t="shared" si="121"/>
        <v>1</v>
      </c>
      <c r="AH162" s="12">
        <f t="shared" si="122"/>
        <v>1</v>
      </c>
      <c r="AI162" s="12">
        <f t="shared" si="123"/>
        <v>1</v>
      </c>
      <c r="AJ162" s="12">
        <f t="shared" si="124"/>
        <v>1</v>
      </c>
      <c r="AK162" s="12">
        <f t="shared" si="125"/>
        <v>1</v>
      </c>
      <c r="AL162" s="12">
        <f t="shared" si="126"/>
        <v>1</v>
      </c>
      <c r="AM162" s="12">
        <f t="shared" si="100"/>
        <v>1</v>
      </c>
      <c r="AN162" s="12">
        <f t="shared" si="101"/>
        <v>1</v>
      </c>
      <c r="AO162" s="12">
        <f t="shared" si="102"/>
        <v>1</v>
      </c>
      <c r="AP162" s="12">
        <f t="shared" si="103"/>
        <v>1</v>
      </c>
      <c r="AQ162" s="12">
        <f t="shared" si="104"/>
        <v>1</v>
      </c>
      <c r="AR162" s="12">
        <f t="shared" si="105"/>
        <v>1</v>
      </c>
      <c r="AS162" s="12" cm="1">
        <f t="array" ref="AS162">IF(AND(H162&lt;&gt;"",SUMPRODUCT(--ISNUMBER(FIND({0;1;2;3;4;5;6;7;8;9},H162)))=0),1,0)</f>
        <v>1</v>
      </c>
      <c r="AT162" s="12" cm="1">
        <f t="array" ref="AT162">IF(AND(I162&lt;&gt;"",SUMPRODUCT(--ISNUMBER(FIND({0;1;2;3;4;5;6;7;8;9},I162)))=0),1,0)</f>
        <v>1</v>
      </c>
      <c r="AU162" s="12" cm="1">
        <f t="array" ref="AU162">IF(AND(J162&lt;&gt;"",SUMPRODUCT(--ISNUMBER(FIND({0;1;2;3;4;5;6;7;8;9},J162)))=0),1,0)</f>
        <v>1</v>
      </c>
      <c r="AV162" s="12">
        <f t="shared" si="127"/>
        <v>1</v>
      </c>
      <c r="AW162" s="12">
        <f t="shared" ca="1" si="106"/>
        <v>1</v>
      </c>
      <c r="AX162" s="12">
        <f t="shared" si="107"/>
        <v>1</v>
      </c>
      <c r="AY162" s="12">
        <f t="shared" si="108"/>
        <v>1</v>
      </c>
      <c r="AZ162" s="12">
        <f t="shared" si="109"/>
        <v>1</v>
      </c>
      <c r="BA162" s="12">
        <f t="shared" si="110"/>
        <v>1</v>
      </c>
      <c r="BB162" s="12">
        <f t="shared" si="111"/>
        <v>1</v>
      </c>
      <c r="BC162" s="12">
        <f t="shared" ca="1" si="112"/>
        <v>1</v>
      </c>
      <c r="BD162" s="12">
        <f t="shared" si="113"/>
        <v>1</v>
      </c>
      <c r="BE162" s="12">
        <f t="shared" si="114"/>
        <v>1</v>
      </c>
      <c r="BF162" s="12">
        <f t="shared" si="115"/>
        <v>1</v>
      </c>
      <c r="BG162" s="12">
        <f t="shared" ca="1" si="116"/>
        <v>1</v>
      </c>
    </row>
    <row r="163" spans="1:59" ht="15.75" customHeight="1" x14ac:dyDescent="0.2">
      <c r="A163" s="19">
        <f t="shared" si="90"/>
        <v>1</v>
      </c>
      <c r="B163" s="20">
        <f t="shared" si="91"/>
        <v>1</v>
      </c>
      <c r="C163" s="20">
        <f t="shared" ca="1" si="92"/>
        <v>1</v>
      </c>
      <c r="D163" s="50">
        <f t="shared" ca="1" si="117"/>
        <v>0</v>
      </c>
      <c r="E163" s="11" t="s">
        <v>683</v>
      </c>
      <c r="F163" s="11" t="s">
        <v>137</v>
      </c>
      <c r="G163" s="11">
        <v>1000000162</v>
      </c>
      <c r="H163" s="11" t="s">
        <v>138</v>
      </c>
      <c r="I163" s="11" t="s">
        <v>267</v>
      </c>
      <c r="J163" s="11" t="s">
        <v>200</v>
      </c>
      <c r="K163" s="11" t="s">
        <v>141</v>
      </c>
      <c r="L163" s="70">
        <v>36722</v>
      </c>
      <c r="M163" s="11" t="s">
        <v>684</v>
      </c>
      <c r="N163" s="11">
        <v>3525255389</v>
      </c>
      <c r="O163" s="11" t="s">
        <v>685</v>
      </c>
      <c r="P163" s="11" t="s">
        <v>224</v>
      </c>
      <c r="Q163" s="11" t="s">
        <v>225</v>
      </c>
      <c r="R163" s="68">
        <v>44581</v>
      </c>
      <c r="S163" s="11" t="s">
        <v>157</v>
      </c>
      <c r="T163" s="11" t="s">
        <v>166</v>
      </c>
      <c r="U163" s="11">
        <v>85000</v>
      </c>
      <c r="V163" s="68">
        <v>44932</v>
      </c>
      <c r="W163" s="12">
        <f t="shared" si="93"/>
        <v>1</v>
      </c>
      <c r="X163" s="12">
        <f t="shared" si="94"/>
        <v>1</v>
      </c>
      <c r="Y163" s="12">
        <f t="shared" si="95"/>
        <v>1</v>
      </c>
      <c r="Z163" s="12">
        <f t="shared" si="96"/>
        <v>1</v>
      </c>
      <c r="AA163" s="12">
        <f t="shared" si="97"/>
        <v>1</v>
      </c>
      <c r="AB163" s="12">
        <f t="shared" si="98"/>
        <v>1</v>
      </c>
      <c r="AC163" s="12">
        <f t="shared" si="99"/>
        <v>1</v>
      </c>
      <c r="AD163" s="12">
        <f t="shared" si="118"/>
        <v>1</v>
      </c>
      <c r="AE163" s="12">
        <f t="shared" si="119"/>
        <v>1</v>
      </c>
      <c r="AF163" s="12">
        <f t="shared" si="120"/>
        <v>1</v>
      </c>
      <c r="AG163" s="12">
        <f t="shared" si="121"/>
        <v>1</v>
      </c>
      <c r="AH163" s="12">
        <f t="shared" si="122"/>
        <v>1</v>
      </c>
      <c r="AI163" s="12">
        <f t="shared" si="123"/>
        <v>1</v>
      </c>
      <c r="AJ163" s="12">
        <f t="shared" si="124"/>
        <v>1</v>
      </c>
      <c r="AK163" s="12">
        <f t="shared" si="125"/>
        <v>1</v>
      </c>
      <c r="AL163" s="12">
        <f t="shared" si="126"/>
        <v>1</v>
      </c>
      <c r="AM163" s="12">
        <f t="shared" si="100"/>
        <v>1</v>
      </c>
      <c r="AN163" s="12">
        <f t="shared" si="101"/>
        <v>1</v>
      </c>
      <c r="AO163" s="12">
        <f t="shared" si="102"/>
        <v>1</v>
      </c>
      <c r="AP163" s="12">
        <f t="shared" si="103"/>
        <v>1</v>
      </c>
      <c r="AQ163" s="12">
        <f t="shared" si="104"/>
        <v>1</v>
      </c>
      <c r="AR163" s="12">
        <f t="shared" si="105"/>
        <v>1</v>
      </c>
      <c r="AS163" s="12" cm="1">
        <f t="array" ref="AS163">IF(AND(H163&lt;&gt;"",SUMPRODUCT(--ISNUMBER(FIND({0;1;2;3;4;5;6;7;8;9},H163)))=0),1,0)</f>
        <v>1</v>
      </c>
      <c r="AT163" s="12" cm="1">
        <f t="array" ref="AT163">IF(AND(I163&lt;&gt;"",SUMPRODUCT(--ISNUMBER(FIND({0;1;2;3;4;5;6;7;8;9},I163)))=0),1,0)</f>
        <v>1</v>
      </c>
      <c r="AU163" s="12" cm="1">
        <f t="array" ref="AU163">IF(AND(J163&lt;&gt;"",SUMPRODUCT(--ISNUMBER(FIND({0;1;2;3;4;5;6;7;8;9},J163)))=0),1,0)</f>
        <v>1</v>
      </c>
      <c r="AV163" s="12">
        <f t="shared" si="127"/>
        <v>1</v>
      </c>
      <c r="AW163" s="12">
        <f t="shared" ca="1" si="106"/>
        <v>1</v>
      </c>
      <c r="AX163" s="12">
        <f t="shared" si="107"/>
        <v>1</v>
      </c>
      <c r="AY163" s="12">
        <f t="shared" si="108"/>
        <v>1</v>
      </c>
      <c r="AZ163" s="12">
        <f t="shared" si="109"/>
        <v>1</v>
      </c>
      <c r="BA163" s="12">
        <f t="shared" si="110"/>
        <v>1</v>
      </c>
      <c r="BB163" s="12">
        <f t="shared" si="111"/>
        <v>1</v>
      </c>
      <c r="BC163" s="12">
        <f t="shared" ca="1" si="112"/>
        <v>1</v>
      </c>
      <c r="BD163" s="12">
        <f t="shared" si="113"/>
        <v>1</v>
      </c>
      <c r="BE163" s="12">
        <f t="shared" si="114"/>
        <v>1</v>
      </c>
      <c r="BF163" s="12">
        <f t="shared" si="115"/>
        <v>1</v>
      </c>
      <c r="BG163" s="12">
        <f t="shared" ca="1" si="116"/>
        <v>1</v>
      </c>
    </row>
    <row r="164" spans="1:59" ht="15.75" customHeight="1" x14ac:dyDescent="0.2">
      <c r="A164" s="19">
        <f t="shared" si="90"/>
        <v>1</v>
      </c>
      <c r="B164" s="20">
        <f t="shared" si="91"/>
        <v>1</v>
      </c>
      <c r="C164" s="20">
        <f t="shared" ca="1" si="92"/>
        <v>1</v>
      </c>
      <c r="D164" s="50">
        <f t="shared" ca="1" si="117"/>
        <v>0</v>
      </c>
      <c r="E164" s="11" t="s">
        <v>686</v>
      </c>
      <c r="F164" s="11" t="s">
        <v>137</v>
      </c>
      <c r="G164" s="11">
        <v>1000000163</v>
      </c>
      <c r="H164" s="11" t="s">
        <v>211</v>
      </c>
      <c r="I164" s="11" t="s">
        <v>169</v>
      </c>
      <c r="J164" s="11" t="s">
        <v>260</v>
      </c>
      <c r="K164" s="11" t="s">
        <v>141</v>
      </c>
      <c r="L164" s="70">
        <v>32653</v>
      </c>
      <c r="M164" s="11" t="s">
        <v>687</v>
      </c>
      <c r="N164" s="11">
        <v>3456063737</v>
      </c>
      <c r="O164" s="11" t="s">
        <v>688</v>
      </c>
      <c r="P164" s="11" t="s">
        <v>248</v>
      </c>
      <c r="Q164" s="11" t="s">
        <v>249</v>
      </c>
      <c r="R164" s="68">
        <v>45155</v>
      </c>
      <c r="S164" s="11" t="s">
        <v>146</v>
      </c>
      <c r="T164" s="11" t="s">
        <v>166</v>
      </c>
      <c r="U164" s="11">
        <v>95000</v>
      </c>
      <c r="V164" s="68">
        <v>45397</v>
      </c>
      <c r="W164" s="12">
        <f t="shared" si="93"/>
        <v>1</v>
      </c>
      <c r="X164" s="12">
        <f t="shared" si="94"/>
        <v>1</v>
      </c>
      <c r="Y164" s="12">
        <f t="shared" si="95"/>
        <v>1</v>
      </c>
      <c r="Z164" s="12">
        <f t="shared" si="96"/>
        <v>1</v>
      </c>
      <c r="AA164" s="12">
        <f t="shared" si="97"/>
        <v>1</v>
      </c>
      <c r="AB164" s="12">
        <f t="shared" si="98"/>
        <v>1</v>
      </c>
      <c r="AC164" s="12">
        <f t="shared" si="99"/>
        <v>1</v>
      </c>
      <c r="AD164" s="12">
        <f t="shared" si="118"/>
        <v>1</v>
      </c>
      <c r="AE164" s="12">
        <f t="shared" si="119"/>
        <v>1</v>
      </c>
      <c r="AF164" s="12">
        <f t="shared" si="120"/>
        <v>1</v>
      </c>
      <c r="AG164" s="12">
        <f t="shared" si="121"/>
        <v>1</v>
      </c>
      <c r="AH164" s="12">
        <f t="shared" si="122"/>
        <v>1</v>
      </c>
      <c r="AI164" s="12">
        <f t="shared" si="123"/>
        <v>1</v>
      </c>
      <c r="AJ164" s="12">
        <f t="shared" si="124"/>
        <v>1</v>
      </c>
      <c r="AK164" s="12">
        <f t="shared" si="125"/>
        <v>1</v>
      </c>
      <c r="AL164" s="12">
        <f t="shared" si="126"/>
        <v>1</v>
      </c>
      <c r="AM164" s="12">
        <f t="shared" si="100"/>
        <v>1</v>
      </c>
      <c r="AN164" s="12">
        <f t="shared" si="101"/>
        <v>1</v>
      </c>
      <c r="AO164" s="12">
        <f t="shared" si="102"/>
        <v>1</v>
      </c>
      <c r="AP164" s="12">
        <f t="shared" si="103"/>
        <v>1</v>
      </c>
      <c r="AQ164" s="12">
        <f t="shared" si="104"/>
        <v>1</v>
      </c>
      <c r="AR164" s="12">
        <f t="shared" si="105"/>
        <v>1</v>
      </c>
      <c r="AS164" s="12" cm="1">
        <f t="array" ref="AS164">IF(AND(H164&lt;&gt;"",SUMPRODUCT(--ISNUMBER(FIND({0;1;2;3;4;5;6;7;8;9},H164)))=0),1,0)</f>
        <v>1</v>
      </c>
      <c r="AT164" s="12" cm="1">
        <f t="array" ref="AT164">IF(AND(I164&lt;&gt;"",SUMPRODUCT(--ISNUMBER(FIND({0;1;2;3;4;5;6;7;8;9},I164)))=0),1,0)</f>
        <v>1</v>
      </c>
      <c r="AU164" s="12" cm="1">
        <f t="array" ref="AU164">IF(AND(J164&lt;&gt;"",SUMPRODUCT(--ISNUMBER(FIND({0;1;2;3;4;5;6;7;8;9},J164)))=0),1,0)</f>
        <v>1</v>
      </c>
      <c r="AV164" s="12">
        <f t="shared" si="127"/>
        <v>1</v>
      </c>
      <c r="AW164" s="12">
        <f t="shared" ca="1" si="106"/>
        <v>1</v>
      </c>
      <c r="AX164" s="12">
        <f t="shared" si="107"/>
        <v>1</v>
      </c>
      <c r="AY164" s="12">
        <f t="shared" si="108"/>
        <v>1</v>
      </c>
      <c r="AZ164" s="12">
        <f t="shared" si="109"/>
        <v>1</v>
      </c>
      <c r="BA164" s="12">
        <f t="shared" si="110"/>
        <v>1</v>
      </c>
      <c r="BB164" s="12">
        <f t="shared" si="111"/>
        <v>1</v>
      </c>
      <c r="BC164" s="12">
        <f t="shared" ca="1" si="112"/>
        <v>1</v>
      </c>
      <c r="BD164" s="12">
        <f t="shared" si="113"/>
        <v>1</v>
      </c>
      <c r="BE164" s="12">
        <f t="shared" si="114"/>
        <v>1</v>
      </c>
      <c r="BF164" s="12">
        <f t="shared" si="115"/>
        <v>1</v>
      </c>
      <c r="BG164" s="12">
        <f t="shared" ca="1" si="116"/>
        <v>1</v>
      </c>
    </row>
    <row r="165" spans="1:59" ht="15.75" customHeight="1" x14ac:dyDescent="0.2">
      <c r="A165" s="19">
        <f t="shared" si="90"/>
        <v>1</v>
      </c>
      <c r="B165" s="20">
        <f t="shared" si="91"/>
        <v>1</v>
      </c>
      <c r="C165" s="20">
        <f t="shared" ca="1" si="92"/>
        <v>1</v>
      </c>
      <c r="D165" s="50">
        <f t="shared" ca="1" si="117"/>
        <v>0</v>
      </c>
      <c r="E165" s="11" t="s">
        <v>689</v>
      </c>
      <c r="F165" s="11" t="s">
        <v>160</v>
      </c>
      <c r="G165" s="11">
        <v>1000000164</v>
      </c>
      <c r="H165" s="11" t="s">
        <v>193</v>
      </c>
      <c r="I165" s="11" t="s">
        <v>168</v>
      </c>
      <c r="J165" s="11" t="s">
        <v>168</v>
      </c>
      <c r="K165" s="11" t="s">
        <v>185</v>
      </c>
      <c r="L165" s="70">
        <v>38012</v>
      </c>
      <c r="M165" s="11" t="s">
        <v>690</v>
      </c>
      <c r="N165" s="11">
        <v>3132048431</v>
      </c>
      <c r="O165" s="11" t="s">
        <v>691</v>
      </c>
      <c r="P165" s="11" t="s">
        <v>155</v>
      </c>
      <c r="Q165" s="11" t="s">
        <v>156</v>
      </c>
      <c r="R165" s="68">
        <v>45144</v>
      </c>
      <c r="S165" s="11" t="s">
        <v>174</v>
      </c>
      <c r="T165" s="11" t="s">
        <v>158</v>
      </c>
      <c r="U165" s="11">
        <v>75000</v>
      </c>
      <c r="V165" s="68">
        <v>45482</v>
      </c>
      <c r="W165" s="12">
        <f t="shared" si="93"/>
        <v>1</v>
      </c>
      <c r="X165" s="12">
        <f t="shared" si="94"/>
        <v>1</v>
      </c>
      <c r="Y165" s="12">
        <f t="shared" si="95"/>
        <v>1</v>
      </c>
      <c r="Z165" s="12">
        <f t="shared" si="96"/>
        <v>1</v>
      </c>
      <c r="AA165" s="12">
        <f t="shared" si="97"/>
        <v>1</v>
      </c>
      <c r="AB165" s="12">
        <f t="shared" si="98"/>
        <v>1</v>
      </c>
      <c r="AC165" s="12">
        <f t="shared" si="99"/>
        <v>1</v>
      </c>
      <c r="AD165" s="12">
        <f t="shared" si="118"/>
        <v>1</v>
      </c>
      <c r="AE165" s="12">
        <f t="shared" si="119"/>
        <v>1</v>
      </c>
      <c r="AF165" s="12">
        <f t="shared" si="120"/>
        <v>1</v>
      </c>
      <c r="AG165" s="12">
        <f t="shared" si="121"/>
        <v>1</v>
      </c>
      <c r="AH165" s="12">
        <f t="shared" si="122"/>
        <v>1</v>
      </c>
      <c r="AI165" s="12">
        <f t="shared" si="123"/>
        <v>1</v>
      </c>
      <c r="AJ165" s="12">
        <f t="shared" si="124"/>
        <v>1</v>
      </c>
      <c r="AK165" s="12">
        <f t="shared" si="125"/>
        <v>1</v>
      </c>
      <c r="AL165" s="12">
        <f t="shared" si="126"/>
        <v>1</v>
      </c>
      <c r="AM165" s="12">
        <f t="shared" si="100"/>
        <v>1</v>
      </c>
      <c r="AN165" s="12">
        <f t="shared" si="101"/>
        <v>1</v>
      </c>
      <c r="AO165" s="12">
        <f t="shared" si="102"/>
        <v>1</v>
      </c>
      <c r="AP165" s="12">
        <f t="shared" si="103"/>
        <v>1</v>
      </c>
      <c r="AQ165" s="12">
        <f t="shared" si="104"/>
        <v>1</v>
      </c>
      <c r="AR165" s="12">
        <f t="shared" si="105"/>
        <v>1</v>
      </c>
      <c r="AS165" s="12" cm="1">
        <f t="array" ref="AS165">IF(AND(H165&lt;&gt;"",SUMPRODUCT(--ISNUMBER(FIND({0;1;2;3;4;5;6;7;8;9},H165)))=0),1,0)</f>
        <v>1</v>
      </c>
      <c r="AT165" s="12" cm="1">
        <f t="array" ref="AT165">IF(AND(I165&lt;&gt;"",SUMPRODUCT(--ISNUMBER(FIND({0;1;2;3;4;5;6;7;8;9},I165)))=0),1,0)</f>
        <v>1</v>
      </c>
      <c r="AU165" s="12" cm="1">
        <f t="array" ref="AU165">IF(AND(J165&lt;&gt;"",SUMPRODUCT(--ISNUMBER(FIND({0;1;2;3;4;5;6;7;8;9},J165)))=0),1,0)</f>
        <v>1</v>
      </c>
      <c r="AV165" s="12">
        <f t="shared" si="127"/>
        <v>1</v>
      </c>
      <c r="AW165" s="12">
        <f t="shared" ca="1" si="106"/>
        <v>1</v>
      </c>
      <c r="AX165" s="12">
        <f t="shared" si="107"/>
        <v>1</v>
      </c>
      <c r="AY165" s="12">
        <f t="shared" si="108"/>
        <v>1</v>
      </c>
      <c r="AZ165" s="12">
        <f t="shared" si="109"/>
        <v>1</v>
      </c>
      <c r="BA165" s="12">
        <f t="shared" si="110"/>
        <v>1</v>
      </c>
      <c r="BB165" s="12">
        <f t="shared" si="111"/>
        <v>1</v>
      </c>
      <c r="BC165" s="12">
        <f t="shared" ca="1" si="112"/>
        <v>1</v>
      </c>
      <c r="BD165" s="12">
        <f t="shared" si="113"/>
        <v>1</v>
      </c>
      <c r="BE165" s="12">
        <f t="shared" si="114"/>
        <v>1</v>
      </c>
      <c r="BF165" s="12">
        <f t="shared" si="115"/>
        <v>1</v>
      </c>
      <c r="BG165" s="12">
        <f t="shared" ca="1" si="116"/>
        <v>1</v>
      </c>
    </row>
    <row r="166" spans="1:59" ht="15.75" customHeight="1" x14ac:dyDescent="0.2">
      <c r="A166" s="19">
        <f t="shared" si="90"/>
        <v>1</v>
      </c>
      <c r="B166" s="20">
        <f t="shared" si="91"/>
        <v>1</v>
      </c>
      <c r="C166" s="20">
        <f t="shared" ca="1" si="92"/>
        <v>0</v>
      </c>
      <c r="D166" s="50">
        <f t="shared" ca="1" si="117"/>
        <v>1</v>
      </c>
      <c r="E166" s="11" t="s">
        <v>692</v>
      </c>
      <c r="F166" s="11" t="s">
        <v>137</v>
      </c>
      <c r="G166" s="11">
        <v>1000000165</v>
      </c>
      <c r="H166" s="11" t="s">
        <v>386</v>
      </c>
      <c r="I166" s="11" t="s">
        <v>139</v>
      </c>
      <c r="J166" s="11" t="s">
        <v>231</v>
      </c>
      <c r="K166" s="11" t="s">
        <v>141</v>
      </c>
      <c r="L166" s="70">
        <v>24274</v>
      </c>
      <c r="M166" s="11" t="s">
        <v>693</v>
      </c>
      <c r="N166" s="11">
        <v>3680607425</v>
      </c>
      <c r="O166" s="11" t="s">
        <v>694</v>
      </c>
      <c r="P166" s="11" t="s">
        <v>165</v>
      </c>
      <c r="Q166" s="11" t="s">
        <v>156</v>
      </c>
      <c r="R166" s="68">
        <v>46101</v>
      </c>
      <c r="S166" s="11" t="s">
        <v>157</v>
      </c>
      <c r="T166" s="11" t="s">
        <v>147</v>
      </c>
      <c r="U166" s="11">
        <v>95000</v>
      </c>
      <c r="V166" s="68">
        <v>46318</v>
      </c>
      <c r="W166" s="12">
        <f t="shared" si="93"/>
        <v>1</v>
      </c>
      <c r="X166" s="12">
        <f t="shared" si="94"/>
        <v>1</v>
      </c>
      <c r="Y166" s="12">
        <f t="shared" si="95"/>
        <v>1</v>
      </c>
      <c r="Z166" s="12">
        <f t="shared" si="96"/>
        <v>1</v>
      </c>
      <c r="AA166" s="12">
        <f t="shared" si="97"/>
        <v>1</v>
      </c>
      <c r="AB166" s="12">
        <f t="shared" si="98"/>
        <v>1</v>
      </c>
      <c r="AC166" s="12">
        <f t="shared" si="99"/>
        <v>1</v>
      </c>
      <c r="AD166" s="12">
        <f t="shared" si="118"/>
        <v>1</v>
      </c>
      <c r="AE166" s="12">
        <f t="shared" si="119"/>
        <v>1</v>
      </c>
      <c r="AF166" s="12">
        <f t="shared" si="120"/>
        <v>1</v>
      </c>
      <c r="AG166" s="12">
        <f t="shared" si="121"/>
        <v>1</v>
      </c>
      <c r="AH166" s="12">
        <f t="shared" si="122"/>
        <v>1</v>
      </c>
      <c r="AI166" s="12">
        <f t="shared" si="123"/>
        <v>1</v>
      </c>
      <c r="AJ166" s="12">
        <f t="shared" si="124"/>
        <v>1</v>
      </c>
      <c r="AK166" s="12">
        <f t="shared" si="125"/>
        <v>1</v>
      </c>
      <c r="AL166" s="12">
        <f t="shared" si="126"/>
        <v>1</v>
      </c>
      <c r="AM166" s="12">
        <f t="shared" si="100"/>
        <v>1</v>
      </c>
      <c r="AN166" s="12">
        <f t="shared" si="101"/>
        <v>1</v>
      </c>
      <c r="AO166" s="12">
        <f t="shared" si="102"/>
        <v>1</v>
      </c>
      <c r="AP166" s="12">
        <f t="shared" si="103"/>
        <v>1</v>
      </c>
      <c r="AQ166" s="12">
        <f t="shared" si="104"/>
        <v>1</v>
      </c>
      <c r="AR166" s="12">
        <f t="shared" si="105"/>
        <v>1</v>
      </c>
      <c r="AS166" s="12" cm="1">
        <f t="array" ref="AS166">IF(AND(H166&lt;&gt;"",SUMPRODUCT(--ISNUMBER(FIND({0;1;2;3;4;5;6;7;8;9},H166)))=0),1,0)</f>
        <v>1</v>
      </c>
      <c r="AT166" s="12" cm="1">
        <f t="array" ref="AT166">IF(AND(I166&lt;&gt;"",SUMPRODUCT(--ISNUMBER(FIND({0;1;2;3;4;5;6;7;8;9},I166)))=0),1,0)</f>
        <v>1</v>
      </c>
      <c r="AU166" s="12" cm="1">
        <f t="array" ref="AU166">IF(AND(J166&lt;&gt;"",SUMPRODUCT(--ISNUMBER(FIND({0;1;2;3;4;5;6;7;8;9},J166)))=0),1,0)</f>
        <v>1</v>
      </c>
      <c r="AV166" s="12">
        <f t="shared" si="127"/>
        <v>1</v>
      </c>
      <c r="AW166" s="12">
        <f t="shared" ca="1" si="106"/>
        <v>1</v>
      </c>
      <c r="AX166" s="12">
        <f t="shared" si="107"/>
        <v>1</v>
      </c>
      <c r="AY166" s="12">
        <f t="shared" si="108"/>
        <v>1</v>
      </c>
      <c r="AZ166" s="12">
        <f t="shared" si="109"/>
        <v>1</v>
      </c>
      <c r="BA166" s="12">
        <f t="shared" si="110"/>
        <v>1</v>
      </c>
      <c r="BB166" s="12">
        <f t="shared" si="111"/>
        <v>1</v>
      </c>
      <c r="BC166" s="12">
        <f t="shared" ca="1" si="112"/>
        <v>1</v>
      </c>
      <c r="BD166" s="12">
        <f t="shared" si="113"/>
        <v>1</v>
      </c>
      <c r="BE166" s="12">
        <f t="shared" si="114"/>
        <v>1</v>
      </c>
      <c r="BF166" s="12">
        <f t="shared" si="115"/>
        <v>1</v>
      </c>
      <c r="BG166" s="12">
        <f t="shared" ca="1" si="116"/>
        <v>0</v>
      </c>
    </row>
    <row r="167" spans="1:59" ht="15.75" customHeight="1" x14ac:dyDescent="0.2">
      <c r="A167" s="19">
        <f t="shared" si="90"/>
        <v>1</v>
      </c>
      <c r="B167" s="20">
        <f t="shared" si="91"/>
        <v>1</v>
      </c>
      <c r="C167" s="20">
        <f t="shared" ca="1" si="92"/>
        <v>1</v>
      </c>
      <c r="D167" s="50">
        <f t="shared" ca="1" si="117"/>
        <v>0</v>
      </c>
      <c r="E167" s="11" t="s">
        <v>695</v>
      </c>
      <c r="F167" s="11" t="s">
        <v>137</v>
      </c>
      <c r="G167" s="11">
        <v>1000000166</v>
      </c>
      <c r="H167" s="11" t="s">
        <v>294</v>
      </c>
      <c r="I167" s="11" t="s">
        <v>256</v>
      </c>
      <c r="J167" s="11" t="s">
        <v>231</v>
      </c>
      <c r="K167" s="11" t="s">
        <v>185</v>
      </c>
      <c r="L167" s="70">
        <v>26349</v>
      </c>
      <c r="M167" s="11" t="s">
        <v>696</v>
      </c>
      <c r="N167" s="11">
        <v>3114053517</v>
      </c>
      <c r="O167" s="11" t="s">
        <v>697</v>
      </c>
      <c r="P167" s="11" t="s">
        <v>172</v>
      </c>
      <c r="Q167" s="11" t="s">
        <v>173</v>
      </c>
      <c r="R167" s="68">
        <v>45005</v>
      </c>
      <c r="S167" s="11" t="s">
        <v>146</v>
      </c>
      <c r="T167" s="11" t="s">
        <v>147</v>
      </c>
      <c r="U167" s="11">
        <v>95000</v>
      </c>
      <c r="V167" s="68">
        <v>45229</v>
      </c>
      <c r="W167" s="12">
        <f t="shared" si="93"/>
        <v>1</v>
      </c>
      <c r="X167" s="12">
        <f t="shared" si="94"/>
        <v>1</v>
      </c>
      <c r="Y167" s="12">
        <f t="shared" si="95"/>
        <v>1</v>
      </c>
      <c r="Z167" s="12">
        <f t="shared" si="96"/>
        <v>1</v>
      </c>
      <c r="AA167" s="12">
        <f t="shared" si="97"/>
        <v>1</v>
      </c>
      <c r="AB167" s="12">
        <f t="shared" si="98"/>
        <v>1</v>
      </c>
      <c r="AC167" s="12">
        <f t="shared" si="99"/>
        <v>1</v>
      </c>
      <c r="AD167" s="12">
        <f t="shared" si="118"/>
        <v>1</v>
      </c>
      <c r="AE167" s="12">
        <f t="shared" si="119"/>
        <v>1</v>
      </c>
      <c r="AF167" s="12">
        <f t="shared" si="120"/>
        <v>1</v>
      </c>
      <c r="AG167" s="12">
        <f t="shared" si="121"/>
        <v>1</v>
      </c>
      <c r="AH167" s="12">
        <f t="shared" si="122"/>
        <v>1</v>
      </c>
      <c r="AI167" s="12">
        <f t="shared" si="123"/>
        <v>1</v>
      </c>
      <c r="AJ167" s="12">
        <f t="shared" si="124"/>
        <v>1</v>
      </c>
      <c r="AK167" s="12">
        <f t="shared" si="125"/>
        <v>1</v>
      </c>
      <c r="AL167" s="12">
        <f t="shared" si="126"/>
        <v>1</v>
      </c>
      <c r="AM167" s="12">
        <f t="shared" si="100"/>
        <v>1</v>
      </c>
      <c r="AN167" s="12">
        <f t="shared" si="101"/>
        <v>1</v>
      </c>
      <c r="AO167" s="12">
        <f t="shared" si="102"/>
        <v>1</v>
      </c>
      <c r="AP167" s="12">
        <f t="shared" si="103"/>
        <v>1</v>
      </c>
      <c r="AQ167" s="12">
        <f t="shared" si="104"/>
        <v>1</v>
      </c>
      <c r="AR167" s="12">
        <f t="shared" si="105"/>
        <v>1</v>
      </c>
      <c r="AS167" s="12" cm="1">
        <f t="array" ref="AS167">IF(AND(H167&lt;&gt;"",SUMPRODUCT(--ISNUMBER(FIND({0;1;2;3;4;5;6;7;8;9},H167)))=0),1,0)</f>
        <v>1</v>
      </c>
      <c r="AT167" s="12" cm="1">
        <f t="array" ref="AT167">IF(AND(I167&lt;&gt;"",SUMPRODUCT(--ISNUMBER(FIND({0;1;2;3;4;5;6;7;8;9},I167)))=0),1,0)</f>
        <v>1</v>
      </c>
      <c r="AU167" s="12" cm="1">
        <f t="array" ref="AU167">IF(AND(J167&lt;&gt;"",SUMPRODUCT(--ISNUMBER(FIND({0;1;2;3;4;5;6;7;8;9},J167)))=0),1,0)</f>
        <v>1</v>
      </c>
      <c r="AV167" s="12">
        <f t="shared" si="127"/>
        <v>1</v>
      </c>
      <c r="AW167" s="12">
        <f t="shared" ca="1" si="106"/>
        <v>1</v>
      </c>
      <c r="AX167" s="12">
        <f t="shared" si="107"/>
        <v>1</v>
      </c>
      <c r="AY167" s="12">
        <f t="shared" si="108"/>
        <v>1</v>
      </c>
      <c r="AZ167" s="12">
        <f t="shared" si="109"/>
        <v>1</v>
      </c>
      <c r="BA167" s="12">
        <f t="shared" si="110"/>
        <v>1</v>
      </c>
      <c r="BB167" s="12">
        <f t="shared" si="111"/>
        <v>1</v>
      </c>
      <c r="BC167" s="12">
        <f t="shared" ca="1" si="112"/>
        <v>1</v>
      </c>
      <c r="BD167" s="12">
        <f t="shared" si="113"/>
        <v>1</v>
      </c>
      <c r="BE167" s="12">
        <f t="shared" si="114"/>
        <v>1</v>
      </c>
      <c r="BF167" s="12">
        <f t="shared" si="115"/>
        <v>1</v>
      </c>
      <c r="BG167" s="12">
        <f t="shared" ca="1" si="116"/>
        <v>1</v>
      </c>
    </row>
    <row r="168" spans="1:59" ht="15.75" customHeight="1" x14ac:dyDescent="0.2">
      <c r="A168" s="19">
        <f t="shared" si="90"/>
        <v>1</v>
      </c>
      <c r="B168" s="20">
        <f t="shared" si="91"/>
        <v>1</v>
      </c>
      <c r="C168" s="20">
        <f t="shared" ca="1" si="92"/>
        <v>1</v>
      </c>
      <c r="D168" s="50">
        <f t="shared" ca="1" si="117"/>
        <v>0</v>
      </c>
      <c r="E168" s="11" t="s">
        <v>698</v>
      </c>
      <c r="F168" s="11" t="s">
        <v>137</v>
      </c>
      <c r="G168" s="11">
        <v>1000000167</v>
      </c>
      <c r="H168" s="11" t="s">
        <v>199</v>
      </c>
      <c r="I168" s="11" t="s">
        <v>260</v>
      </c>
      <c r="J168" s="11" t="s">
        <v>151</v>
      </c>
      <c r="K168" s="11" t="s">
        <v>185</v>
      </c>
      <c r="L168" s="70">
        <v>36625</v>
      </c>
      <c r="M168" s="11" t="s">
        <v>699</v>
      </c>
      <c r="N168" s="11">
        <v>3476403030</v>
      </c>
      <c r="O168" s="11" t="s">
        <v>700</v>
      </c>
      <c r="P168" s="11" t="s">
        <v>165</v>
      </c>
      <c r="Q168" s="11" t="s">
        <v>156</v>
      </c>
      <c r="R168" s="68">
        <v>44593</v>
      </c>
      <c r="S168" s="11" t="s">
        <v>174</v>
      </c>
      <c r="T168" s="11" t="s">
        <v>158</v>
      </c>
      <c r="U168" s="11">
        <v>95000</v>
      </c>
      <c r="V168" s="68">
        <v>44784</v>
      </c>
      <c r="W168" s="12">
        <f t="shared" si="93"/>
        <v>1</v>
      </c>
      <c r="X168" s="12">
        <f t="shared" si="94"/>
        <v>1</v>
      </c>
      <c r="Y168" s="12">
        <f t="shared" si="95"/>
        <v>1</v>
      </c>
      <c r="Z168" s="12">
        <f t="shared" si="96"/>
        <v>1</v>
      </c>
      <c r="AA168" s="12">
        <f t="shared" si="97"/>
        <v>1</v>
      </c>
      <c r="AB168" s="12">
        <f t="shared" si="98"/>
        <v>1</v>
      </c>
      <c r="AC168" s="12">
        <f t="shared" si="99"/>
        <v>1</v>
      </c>
      <c r="AD168" s="12">
        <f t="shared" si="118"/>
        <v>1</v>
      </c>
      <c r="AE168" s="12">
        <f t="shared" si="119"/>
        <v>1</v>
      </c>
      <c r="AF168" s="12">
        <f t="shared" si="120"/>
        <v>1</v>
      </c>
      <c r="AG168" s="12">
        <f t="shared" si="121"/>
        <v>1</v>
      </c>
      <c r="AH168" s="12">
        <f t="shared" si="122"/>
        <v>1</v>
      </c>
      <c r="AI168" s="12">
        <f t="shared" si="123"/>
        <v>1</v>
      </c>
      <c r="AJ168" s="12">
        <f t="shared" si="124"/>
        <v>1</v>
      </c>
      <c r="AK168" s="12">
        <f t="shared" si="125"/>
        <v>1</v>
      </c>
      <c r="AL168" s="12">
        <f t="shared" si="126"/>
        <v>1</v>
      </c>
      <c r="AM168" s="12">
        <f t="shared" si="100"/>
        <v>1</v>
      </c>
      <c r="AN168" s="12">
        <f t="shared" si="101"/>
        <v>1</v>
      </c>
      <c r="AO168" s="12">
        <f t="shared" si="102"/>
        <v>1</v>
      </c>
      <c r="AP168" s="12">
        <f t="shared" si="103"/>
        <v>1</v>
      </c>
      <c r="AQ168" s="12">
        <f t="shared" si="104"/>
        <v>1</v>
      </c>
      <c r="AR168" s="12">
        <f t="shared" si="105"/>
        <v>1</v>
      </c>
      <c r="AS168" s="12" cm="1">
        <f t="array" ref="AS168">IF(AND(H168&lt;&gt;"",SUMPRODUCT(--ISNUMBER(FIND({0;1;2;3;4;5;6;7;8;9},H168)))=0),1,0)</f>
        <v>1</v>
      </c>
      <c r="AT168" s="12" cm="1">
        <f t="array" ref="AT168">IF(AND(I168&lt;&gt;"",SUMPRODUCT(--ISNUMBER(FIND({0;1;2;3;4;5;6;7;8;9},I168)))=0),1,0)</f>
        <v>1</v>
      </c>
      <c r="AU168" s="12" cm="1">
        <f t="array" ref="AU168">IF(AND(J168&lt;&gt;"",SUMPRODUCT(--ISNUMBER(FIND({0;1;2;3;4;5;6;7;8;9},J168)))=0),1,0)</f>
        <v>1</v>
      </c>
      <c r="AV168" s="12">
        <f t="shared" si="127"/>
        <v>1</v>
      </c>
      <c r="AW168" s="12">
        <f t="shared" ca="1" si="106"/>
        <v>1</v>
      </c>
      <c r="AX168" s="12">
        <f t="shared" si="107"/>
        <v>1</v>
      </c>
      <c r="AY168" s="12">
        <f t="shared" si="108"/>
        <v>1</v>
      </c>
      <c r="AZ168" s="12">
        <f t="shared" si="109"/>
        <v>1</v>
      </c>
      <c r="BA168" s="12">
        <f t="shared" si="110"/>
        <v>1</v>
      </c>
      <c r="BB168" s="12">
        <f t="shared" si="111"/>
        <v>1</v>
      </c>
      <c r="BC168" s="12">
        <f t="shared" ca="1" si="112"/>
        <v>1</v>
      </c>
      <c r="BD168" s="12">
        <f t="shared" si="113"/>
        <v>1</v>
      </c>
      <c r="BE168" s="12">
        <f t="shared" si="114"/>
        <v>1</v>
      </c>
      <c r="BF168" s="12">
        <f t="shared" si="115"/>
        <v>1</v>
      </c>
      <c r="BG168" s="12">
        <f t="shared" ca="1" si="116"/>
        <v>1</v>
      </c>
    </row>
    <row r="169" spans="1:59" ht="15.75" customHeight="1" x14ac:dyDescent="0.2">
      <c r="A169" s="19">
        <f t="shared" si="90"/>
        <v>1</v>
      </c>
      <c r="B169" s="20">
        <f t="shared" si="91"/>
        <v>1</v>
      </c>
      <c r="C169" s="20">
        <f t="shared" ca="1" si="92"/>
        <v>1</v>
      </c>
      <c r="D169" s="50">
        <f t="shared" ca="1" si="117"/>
        <v>0</v>
      </c>
      <c r="E169" s="11" t="s">
        <v>701</v>
      </c>
      <c r="F169" s="11" t="s">
        <v>137</v>
      </c>
      <c r="G169" s="11">
        <v>1000000168</v>
      </c>
      <c r="H169" s="11" t="s">
        <v>182</v>
      </c>
      <c r="I169" s="11" t="s">
        <v>212</v>
      </c>
      <c r="J169" s="11" t="s">
        <v>162</v>
      </c>
      <c r="K169" s="11" t="s">
        <v>185</v>
      </c>
      <c r="L169" s="70">
        <v>35872</v>
      </c>
      <c r="M169" s="11" t="s">
        <v>702</v>
      </c>
      <c r="N169" s="11">
        <v>3515336438</v>
      </c>
      <c r="O169" s="11" t="s">
        <v>703</v>
      </c>
      <c r="P169" s="11" t="s">
        <v>144</v>
      </c>
      <c r="Q169" s="11" t="s">
        <v>145</v>
      </c>
      <c r="R169" s="68">
        <v>44585</v>
      </c>
      <c r="S169" s="11" t="s">
        <v>146</v>
      </c>
      <c r="T169" s="11" t="s">
        <v>166</v>
      </c>
      <c r="U169" s="11">
        <v>95000</v>
      </c>
      <c r="V169" s="68">
        <v>44903</v>
      </c>
      <c r="W169" s="12">
        <f t="shared" si="93"/>
        <v>1</v>
      </c>
      <c r="X169" s="12">
        <f t="shared" si="94"/>
        <v>1</v>
      </c>
      <c r="Y169" s="12">
        <f t="shared" si="95"/>
        <v>1</v>
      </c>
      <c r="Z169" s="12">
        <f t="shared" si="96"/>
        <v>1</v>
      </c>
      <c r="AA169" s="12">
        <f t="shared" si="97"/>
        <v>1</v>
      </c>
      <c r="AB169" s="12">
        <f t="shared" si="98"/>
        <v>1</v>
      </c>
      <c r="AC169" s="12">
        <f t="shared" si="99"/>
        <v>1</v>
      </c>
      <c r="AD169" s="12">
        <f t="shared" si="118"/>
        <v>1</v>
      </c>
      <c r="AE169" s="12">
        <f t="shared" si="119"/>
        <v>1</v>
      </c>
      <c r="AF169" s="12">
        <f t="shared" si="120"/>
        <v>1</v>
      </c>
      <c r="AG169" s="12">
        <f t="shared" si="121"/>
        <v>1</v>
      </c>
      <c r="AH169" s="12">
        <f t="shared" si="122"/>
        <v>1</v>
      </c>
      <c r="AI169" s="12">
        <f t="shared" si="123"/>
        <v>1</v>
      </c>
      <c r="AJ169" s="12">
        <f t="shared" si="124"/>
        <v>1</v>
      </c>
      <c r="AK169" s="12">
        <f t="shared" si="125"/>
        <v>1</v>
      </c>
      <c r="AL169" s="12">
        <f t="shared" si="126"/>
        <v>1</v>
      </c>
      <c r="AM169" s="12">
        <f t="shared" si="100"/>
        <v>1</v>
      </c>
      <c r="AN169" s="12">
        <f t="shared" si="101"/>
        <v>1</v>
      </c>
      <c r="AO169" s="12">
        <f t="shared" si="102"/>
        <v>1</v>
      </c>
      <c r="AP169" s="12">
        <f t="shared" si="103"/>
        <v>1</v>
      </c>
      <c r="AQ169" s="12">
        <f t="shared" si="104"/>
        <v>1</v>
      </c>
      <c r="AR169" s="12">
        <f t="shared" si="105"/>
        <v>1</v>
      </c>
      <c r="AS169" s="12" cm="1">
        <f t="array" ref="AS169">IF(AND(H169&lt;&gt;"",SUMPRODUCT(--ISNUMBER(FIND({0;1;2;3;4;5;6;7;8;9},H169)))=0),1,0)</f>
        <v>1</v>
      </c>
      <c r="AT169" s="12" cm="1">
        <f t="array" ref="AT169">IF(AND(I169&lt;&gt;"",SUMPRODUCT(--ISNUMBER(FIND({0;1;2;3;4;5;6;7;8;9},I169)))=0),1,0)</f>
        <v>1</v>
      </c>
      <c r="AU169" s="12" cm="1">
        <f t="array" ref="AU169">IF(AND(J169&lt;&gt;"",SUMPRODUCT(--ISNUMBER(FIND({0;1;2;3;4;5;6;7;8;9},J169)))=0),1,0)</f>
        <v>1</v>
      </c>
      <c r="AV169" s="12">
        <f t="shared" si="127"/>
        <v>1</v>
      </c>
      <c r="AW169" s="12">
        <f t="shared" ca="1" si="106"/>
        <v>1</v>
      </c>
      <c r="AX169" s="12">
        <f t="shared" si="107"/>
        <v>1</v>
      </c>
      <c r="AY169" s="12">
        <f t="shared" si="108"/>
        <v>1</v>
      </c>
      <c r="AZ169" s="12">
        <f t="shared" si="109"/>
        <v>1</v>
      </c>
      <c r="BA169" s="12">
        <f t="shared" si="110"/>
        <v>1</v>
      </c>
      <c r="BB169" s="12">
        <f t="shared" si="111"/>
        <v>1</v>
      </c>
      <c r="BC169" s="12">
        <f t="shared" ca="1" si="112"/>
        <v>1</v>
      </c>
      <c r="BD169" s="12">
        <f t="shared" si="113"/>
        <v>1</v>
      </c>
      <c r="BE169" s="12">
        <f t="shared" si="114"/>
        <v>1</v>
      </c>
      <c r="BF169" s="12">
        <f t="shared" si="115"/>
        <v>1</v>
      </c>
      <c r="BG169" s="12">
        <f t="shared" ca="1" si="116"/>
        <v>1</v>
      </c>
    </row>
    <row r="170" spans="1:59" ht="15.75" customHeight="1" x14ac:dyDescent="0.2">
      <c r="A170" s="19">
        <f t="shared" si="90"/>
        <v>1</v>
      </c>
      <c r="B170" s="20">
        <f t="shared" si="91"/>
        <v>1</v>
      </c>
      <c r="C170" s="20">
        <f t="shared" ca="1" si="92"/>
        <v>1</v>
      </c>
      <c r="D170" s="50">
        <f t="shared" ca="1" si="117"/>
        <v>0</v>
      </c>
      <c r="E170" s="11" t="s">
        <v>704</v>
      </c>
      <c r="F170" s="11" t="s">
        <v>160</v>
      </c>
      <c r="G170" s="11">
        <v>1000000169</v>
      </c>
      <c r="H170" s="11" t="s">
        <v>281</v>
      </c>
      <c r="I170" s="11" t="s">
        <v>168</v>
      </c>
      <c r="J170" s="11" t="s">
        <v>162</v>
      </c>
      <c r="K170" s="11" t="s">
        <v>185</v>
      </c>
      <c r="L170" s="70">
        <v>34713</v>
      </c>
      <c r="M170" s="11" t="s">
        <v>705</v>
      </c>
      <c r="N170" s="11">
        <v>3704836065</v>
      </c>
      <c r="O170" s="11" t="s">
        <v>706</v>
      </c>
      <c r="P170" s="11" t="s">
        <v>224</v>
      </c>
      <c r="Q170" s="11" t="s">
        <v>225</v>
      </c>
      <c r="R170" s="68">
        <v>44585</v>
      </c>
      <c r="S170" s="11" t="s">
        <v>146</v>
      </c>
      <c r="T170" s="11" t="s">
        <v>166</v>
      </c>
      <c r="U170" s="11">
        <v>85000</v>
      </c>
      <c r="V170" s="68">
        <v>44751</v>
      </c>
      <c r="W170" s="12">
        <f t="shared" si="93"/>
        <v>1</v>
      </c>
      <c r="X170" s="12">
        <f t="shared" si="94"/>
        <v>1</v>
      </c>
      <c r="Y170" s="12">
        <f t="shared" si="95"/>
        <v>1</v>
      </c>
      <c r="Z170" s="12">
        <f t="shared" si="96"/>
        <v>1</v>
      </c>
      <c r="AA170" s="12">
        <f t="shared" si="97"/>
        <v>1</v>
      </c>
      <c r="AB170" s="12">
        <f t="shared" si="98"/>
        <v>1</v>
      </c>
      <c r="AC170" s="12">
        <f t="shared" si="99"/>
        <v>1</v>
      </c>
      <c r="AD170" s="12">
        <f t="shared" si="118"/>
        <v>1</v>
      </c>
      <c r="AE170" s="12">
        <f t="shared" si="119"/>
        <v>1</v>
      </c>
      <c r="AF170" s="12">
        <f t="shared" si="120"/>
        <v>1</v>
      </c>
      <c r="AG170" s="12">
        <f t="shared" si="121"/>
        <v>1</v>
      </c>
      <c r="AH170" s="12">
        <f t="shared" si="122"/>
        <v>1</v>
      </c>
      <c r="AI170" s="12">
        <f t="shared" si="123"/>
        <v>1</v>
      </c>
      <c r="AJ170" s="12">
        <f t="shared" si="124"/>
        <v>1</v>
      </c>
      <c r="AK170" s="12">
        <f t="shared" si="125"/>
        <v>1</v>
      </c>
      <c r="AL170" s="12">
        <f t="shared" si="126"/>
        <v>1</v>
      </c>
      <c r="AM170" s="12">
        <f t="shared" si="100"/>
        <v>1</v>
      </c>
      <c r="AN170" s="12">
        <f t="shared" si="101"/>
        <v>1</v>
      </c>
      <c r="AO170" s="12">
        <f t="shared" si="102"/>
        <v>1</v>
      </c>
      <c r="AP170" s="12">
        <f t="shared" si="103"/>
        <v>1</v>
      </c>
      <c r="AQ170" s="12">
        <f t="shared" si="104"/>
        <v>1</v>
      </c>
      <c r="AR170" s="12">
        <f t="shared" si="105"/>
        <v>1</v>
      </c>
      <c r="AS170" s="12" cm="1">
        <f t="array" ref="AS170">IF(AND(H170&lt;&gt;"",SUMPRODUCT(--ISNUMBER(FIND({0;1;2;3;4;5;6;7;8;9},H170)))=0),1,0)</f>
        <v>1</v>
      </c>
      <c r="AT170" s="12" cm="1">
        <f t="array" ref="AT170">IF(AND(I170&lt;&gt;"",SUMPRODUCT(--ISNUMBER(FIND({0;1;2;3;4;5;6;7;8;9},I170)))=0),1,0)</f>
        <v>1</v>
      </c>
      <c r="AU170" s="12" cm="1">
        <f t="array" ref="AU170">IF(AND(J170&lt;&gt;"",SUMPRODUCT(--ISNUMBER(FIND({0;1;2;3;4;5;6;7;8;9},J170)))=0),1,0)</f>
        <v>1</v>
      </c>
      <c r="AV170" s="12">
        <f t="shared" si="127"/>
        <v>1</v>
      </c>
      <c r="AW170" s="12">
        <f t="shared" ca="1" si="106"/>
        <v>1</v>
      </c>
      <c r="AX170" s="12">
        <f t="shared" si="107"/>
        <v>1</v>
      </c>
      <c r="AY170" s="12">
        <f t="shared" si="108"/>
        <v>1</v>
      </c>
      <c r="AZ170" s="12">
        <f t="shared" si="109"/>
        <v>1</v>
      </c>
      <c r="BA170" s="12">
        <f t="shared" si="110"/>
        <v>1</v>
      </c>
      <c r="BB170" s="12">
        <f t="shared" si="111"/>
        <v>1</v>
      </c>
      <c r="BC170" s="12">
        <f t="shared" ca="1" si="112"/>
        <v>1</v>
      </c>
      <c r="BD170" s="12">
        <f t="shared" si="113"/>
        <v>1</v>
      </c>
      <c r="BE170" s="12">
        <f t="shared" si="114"/>
        <v>1</v>
      </c>
      <c r="BF170" s="12">
        <f t="shared" si="115"/>
        <v>1</v>
      </c>
      <c r="BG170" s="12">
        <f t="shared" ca="1" si="116"/>
        <v>1</v>
      </c>
    </row>
    <row r="171" spans="1:59" ht="15.75" customHeight="1" x14ac:dyDescent="0.2">
      <c r="A171" s="19">
        <f t="shared" si="90"/>
        <v>1</v>
      </c>
      <c r="B171" s="20">
        <f t="shared" si="91"/>
        <v>1</v>
      </c>
      <c r="C171" s="20">
        <f t="shared" ca="1" si="92"/>
        <v>1</v>
      </c>
      <c r="D171" s="50">
        <f t="shared" ca="1" si="117"/>
        <v>0</v>
      </c>
      <c r="E171" s="11" t="s">
        <v>707</v>
      </c>
      <c r="F171" s="11" t="s">
        <v>149</v>
      </c>
      <c r="G171" s="11">
        <v>1000000170</v>
      </c>
      <c r="H171" s="11" t="s">
        <v>161</v>
      </c>
      <c r="I171" s="11" t="s">
        <v>162</v>
      </c>
      <c r="J171" s="11" t="s">
        <v>152</v>
      </c>
      <c r="K171" s="11" t="s">
        <v>141</v>
      </c>
      <c r="L171" s="70">
        <v>27992</v>
      </c>
      <c r="M171" s="11" t="s">
        <v>708</v>
      </c>
      <c r="N171" s="11">
        <v>3685054955</v>
      </c>
      <c r="O171" s="11" t="s">
        <v>709</v>
      </c>
      <c r="P171" s="11" t="s">
        <v>165</v>
      </c>
      <c r="Q171" s="11" t="s">
        <v>156</v>
      </c>
      <c r="R171" s="68">
        <v>45581</v>
      </c>
      <c r="S171" s="11" t="s">
        <v>174</v>
      </c>
      <c r="T171" s="11" t="s">
        <v>147</v>
      </c>
      <c r="U171" s="11">
        <v>75000</v>
      </c>
      <c r="V171" s="68">
        <v>45788</v>
      </c>
      <c r="W171" s="12">
        <f t="shared" si="93"/>
        <v>1</v>
      </c>
      <c r="X171" s="12">
        <f t="shared" si="94"/>
        <v>1</v>
      </c>
      <c r="Y171" s="12">
        <f t="shared" si="95"/>
        <v>1</v>
      </c>
      <c r="Z171" s="12">
        <f t="shared" si="96"/>
        <v>1</v>
      </c>
      <c r="AA171" s="12">
        <f t="shared" si="97"/>
        <v>1</v>
      </c>
      <c r="AB171" s="12">
        <f t="shared" si="98"/>
        <v>1</v>
      </c>
      <c r="AC171" s="12">
        <f t="shared" si="99"/>
        <v>1</v>
      </c>
      <c r="AD171" s="12">
        <f t="shared" si="118"/>
        <v>1</v>
      </c>
      <c r="AE171" s="12">
        <f t="shared" si="119"/>
        <v>1</v>
      </c>
      <c r="AF171" s="12">
        <f t="shared" si="120"/>
        <v>1</v>
      </c>
      <c r="AG171" s="12">
        <f t="shared" si="121"/>
        <v>1</v>
      </c>
      <c r="AH171" s="12">
        <f t="shared" si="122"/>
        <v>1</v>
      </c>
      <c r="AI171" s="12">
        <f t="shared" si="123"/>
        <v>1</v>
      </c>
      <c r="AJ171" s="12">
        <f t="shared" si="124"/>
        <v>1</v>
      </c>
      <c r="AK171" s="12">
        <f t="shared" si="125"/>
        <v>1</v>
      </c>
      <c r="AL171" s="12">
        <f t="shared" si="126"/>
        <v>1</v>
      </c>
      <c r="AM171" s="12">
        <f t="shared" si="100"/>
        <v>1</v>
      </c>
      <c r="AN171" s="12">
        <f t="shared" si="101"/>
        <v>1</v>
      </c>
      <c r="AO171" s="12">
        <f t="shared" si="102"/>
        <v>1</v>
      </c>
      <c r="AP171" s="12">
        <f t="shared" si="103"/>
        <v>1</v>
      </c>
      <c r="AQ171" s="12">
        <f t="shared" si="104"/>
        <v>1</v>
      </c>
      <c r="AR171" s="12">
        <f t="shared" si="105"/>
        <v>1</v>
      </c>
      <c r="AS171" s="12" cm="1">
        <f t="array" ref="AS171">IF(AND(H171&lt;&gt;"",SUMPRODUCT(--ISNUMBER(FIND({0;1;2;3;4;5;6;7;8;9},H171)))=0),1,0)</f>
        <v>1</v>
      </c>
      <c r="AT171" s="12" cm="1">
        <f t="array" ref="AT171">IF(AND(I171&lt;&gt;"",SUMPRODUCT(--ISNUMBER(FIND({0;1;2;3;4;5;6;7;8;9},I171)))=0),1,0)</f>
        <v>1</v>
      </c>
      <c r="AU171" s="12" cm="1">
        <f t="array" ref="AU171">IF(AND(J171&lt;&gt;"",SUMPRODUCT(--ISNUMBER(FIND({0;1;2;3;4;5;6;7;8;9},J171)))=0),1,0)</f>
        <v>1</v>
      </c>
      <c r="AV171" s="12">
        <f t="shared" si="127"/>
        <v>1</v>
      </c>
      <c r="AW171" s="12">
        <f t="shared" ca="1" si="106"/>
        <v>1</v>
      </c>
      <c r="AX171" s="12">
        <f t="shared" si="107"/>
        <v>1</v>
      </c>
      <c r="AY171" s="12">
        <f t="shared" si="108"/>
        <v>1</v>
      </c>
      <c r="AZ171" s="12">
        <f t="shared" si="109"/>
        <v>1</v>
      </c>
      <c r="BA171" s="12">
        <f t="shared" si="110"/>
        <v>1</v>
      </c>
      <c r="BB171" s="12">
        <f t="shared" si="111"/>
        <v>1</v>
      </c>
      <c r="BC171" s="12">
        <f t="shared" ca="1" si="112"/>
        <v>1</v>
      </c>
      <c r="BD171" s="12">
        <f t="shared" si="113"/>
        <v>1</v>
      </c>
      <c r="BE171" s="12">
        <f t="shared" si="114"/>
        <v>1</v>
      </c>
      <c r="BF171" s="12">
        <f t="shared" si="115"/>
        <v>1</v>
      </c>
      <c r="BG171" s="12">
        <f t="shared" ca="1" si="116"/>
        <v>1</v>
      </c>
    </row>
    <row r="172" spans="1:59" ht="15.75" customHeight="1" x14ac:dyDescent="0.2">
      <c r="A172" s="19">
        <f t="shared" si="90"/>
        <v>1</v>
      </c>
      <c r="B172" s="20">
        <f t="shared" si="91"/>
        <v>0</v>
      </c>
      <c r="C172" s="20">
        <f t="shared" ca="1" si="92"/>
        <v>0</v>
      </c>
      <c r="D172" s="50">
        <f t="shared" ca="1" si="117"/>
        <v>1</v>
      </c>
      <c r="E172" s="11" t="s">
        <v>710</v>
      </c>
      <c r="F172" s="11" t="s">
        <v>160</v>
      </c>
      <c r="G172" s="11">
        <v>1000000171</v>
      </c>
      <c r="H172" s="11" t="s">
        <v>182</v>
      </c>
      <c r="I172" s="11" t="s">
        <v>200</v>
      </c>
      <c r="J172" s="11" t="s">
        <v>152</v>
      </c>
      <c r="K172" s="11" t="s">
        <v>185</v>
      </c>
      <c r="L172" s="70">
        <v>35739</v>
      </c>
      <c r="M172" s="11" t="s">
        <v>711</v>
      </c>
      <c r="N172" s="11">
        <v>3114225264</v>
      </c>
      <c r="O172" s="11" t="s">
        <v>712</v>
      </c>
      <c r="P172" s="11" t="s">
        <v>172</v>
      </c>
      <c r="Q172" s="11" t="s">
        <v>173</v>
      </c>
      <c r="S172" s="11" t="s">
        <v>146</v>
      </c>
      <c r="T172" s="11" t="s">
        <v>166</v>
      </c>
      <c r="U172" s="11">
        <v>90000</v>
      </c>
      <c r="V172" s="68">
        <v>44807</v>
      </c>
      <c r="W172" s="12">
        <f t="shared" si="93"/>
        <v>1</v>
      </c>
      <c r="X172" s="12">
        <f t="shared" si="94"/>
        <v>1</v>
      </c>
      <c r="Y172" s="12">
        <f t="shared" si="95"/>
        <v>1</v>
      </c>
      <c r="Z172" s="12">
        <f t="shared" si="96"/>
        <v>1</v>
      </c>
      <c r="AA172" s="12">
        <f t="shared" si="97"/>
        <v>1</v>
      </c>
      <c r="AB172" s="12">
        <f t="shared" si="98"/>
        <v>1</v>
      </c>
      <c r="AC172" s="12">
        <f t="shared" si="99"/>
        <v>1</v>
      </c>
      <c r="AD172" s="12">
        <f t="shared" si="118"/>
        <v>1</v>
      </c>
      <c r="AE172" s="12">
        <f t="shared" si="119"/>
        <v>1</v>
      </c>
      <c r="AF172" s="12">
        <f t="shared" si="120"/>
        <v>1</v>
      </c>
      <c r="AG172" s="12">
        <f t="shared" si="121"/>
        <v>1</v>
      </c>
      <c r="AH172" s="12">
        <f t="shared" si="122"/>
        <v>1</v>
      </c>
      <c r="AI172" s="12">
        <f t="shared" si="123"/>
        <v>1</v>
      </c>
      <c r="AJ172" s="12">
        <f t="shared" si="124"/>
        <v>1</v>
      </c>
      <c r="AK172" s="12">
        <f t="shared" si="125"/>
        <v>0</v>
      </c>
      <c r="AL172" s="12">
        <f t="shared" si="126"/>
        <v>1</v>
      </c>
      <c r="AM172" s="12">
        <f t="shared" si="100"/>
        <v>1</v>
      </c>
      <c r="AN172" s="12">
        <f t="shared" si="101"/>
        <v>1</v>
      </c>
      <c r="AO172" s="12">
        <f t="shared" si="102"/>
        <v>1</v>
      </c>
      <c r="AP172" s="12">
        <f t="shared" si="103"/>
        <v>1</v>
      </c>
      <c r="AQ172" s="12">
        <f t="shared" si="104"/>
        <v>1</v>
      </c>
      <c r="AR172" s="12">
        <f t="shared" si="105"/>
        <v>1</v>
      </c>
      <c r="AS172" s="12" cm="1">
        <f t="array" ref="AS172">IF(AND(H172&lt;&gt;"",SUMPRODUCT(--ISNUMBER(FIND({0;1;2;3;4;5;6;7;8;9},H172)))=0),1,0)</f>
        <v>1</v>
      </c>
      <c r="AT172" s="12" cm="1">
        <f t="array" ref="AT172">IF(AND(I172&lt;&gt;"",SUMPRODUCT(--ISNUMBER(FIND({0;1;2;3;4;5;6;7;8;9},I172)))=0),1,0)</f>
        <v>1</v>
      </c>
      <c r="AU172" s="12" cm="1">
        <f t="array" ref="AU172">IF(AND(J172&lt;&gt;"",SUMPRODUCT(--ISNUMBER(FIND({0;1;2;3;4;5;6;7;8;9},J172)))=0),1,0)</f>
        <v>1</v>
      </c>
      <c r="AV172" s="12">
        <f t="shared" si="127"/>
        <v>1</v>
      </c>
      <c r="AW172" s="12">
        <f t="shared" ca="1" si="106"/>
        <v>1</v>
      </c>
      <c r="AX172" s="12">
        <f t="shared" si="107"/>
        <v>1</v>
      </c>
      <c r="AY172" s="12">
        <f t="shared" si="108"/>
        <v>1</v>
      </c>
      <c r="AZ172" s="12">
        <f t="shared" si="109"/>
        <v>1</v>
      </c>
      <c r="BA172" s="12">
        <f t="shared" si="110"/>
        <v>1</v>
      </c>
      <c r="BB172" s="12">
        <f t="shared" si="111"/>
        <v>1</v>
      </c>
      <c r="BC172" s="12">
        <f t="shared" ca="1" si="112"/>
        <v>0</v>
      </c>
      <c r="BD172" s="12">
        <f t="shared" si="113"/>
        <v>1</v>
      </c>
      <c r="BE172" s="12">
        <f t="shared" si="114"/>
        <v>1</v>
      </c>
      <c r="BF172" s="12">
        <f t="shared" si="115"/>
        <v>1</v>
      </c>
      <c r="BG172" s="12">
        <f t="shared" ca="1" si="116"/>
        <v>1</v>
      </c>
    </row>
    <row r="173" spans="1:59" ht="15.75" customHeight="1" x14ac:dyDescent="0.2">
      <c r="A173" s="19">
        <f t="shared" si="90"/>
        <v>1</v>
      </c>
      <c r="B173" s="20">
        <f t="shared" si="91"/>
        <v>1</v>
      </c>
      <c r="C173" s="20">
        <f t="shared" ca="1" si="92"/>
        <v>0</v>
      </c>
      <c r="D173" s="50">
        <f t="shared" ca="1" si="117"/>
        <v>1</v>
      </c>
      <c r="E173" s="11" t="s">
        <v>713</v>
      </c>
      <c r="F173" s="11" t="s">
        <v>137</v>
      </c>
      <c r="G173" s="11">
        <v>1000000172</v>
      </c>
      <c r="H173" s="11" t="s">
        <v>138</v>
      </c>
      <c r="I173" s="11" t="s">
        <v>195</v>
      </c>
      <c r="J173" s="11" t="s">
        <v>221</v>
      </c>
      <c r="K173" s="11" t="s">
        <v>141</v>
      </c>
      <c r="L173" s="70">
        <v>29135</v>
      </c>
      <c r="M173" s="11" t="s">
        <v>714</v>
      </c>
      <c r="N173" s="11">
        <v>3987939591</v>
      </c>
      <c r="O173" s="11" t="s">
        <v>715</v>
      </c>
      <c r="P173" s="11" t="s">
        <v>179</v>
      </c>
      <c r="Q173" s="11" t="s">
        <v>180</v>
      </c>
      <c r="R173" s="68">
        <v>46023</v>
      </c>
      <c r="S173" s="11" t="s">
        <v>157</v>
      </c>
      <c r="T173" s="11" t="s">
        <v>166</v>
      </c>
      <c r="U173" s="11">
        <v>90000</v>
      </c>
      <c r="V173" s="68">
        <v>46273</v>
      </c>
      <c r="W173" s="12">
        <f t="shared" si="93"/>
        <v>1</v>
      </c>
      <c r="X173" s="12">
        <f t="shared" si="94"/>
        <v>1</v>
      </c>
      <c r="Y173" s="12">
        <f t="shared" si="95"/>
        <v>1</v>
      </c>
      <c r="Z173" s="12">
        <f t="shared" si="96"/>
        <v>1</v>
      </c>
      <c r="AA173" s="12">
        <f t="shared" si="97"/>
        <v>1</v>
      </c>
      <c r="AB173" s="12">
        <f t="shared" si="98"/>
        <v>1</v>
      </c>
      <c r="AC173" s="12">
        <f t="shared" si="99"/>
        <v>1</v>
      </c>
      <c r="AD173" s="12">
        <f t="shared" si="118"/>
        <v>1</v>
      </c>
      <c r="AE173" s="12">
        <f t="shared" si="119"/>
        <v>1</v>
      </c>
      <c r="AF173" s="12">
        <f t="shared" si="120"/>
        <v>1</v>
      </c>
      <c r="AG173" s="12">
        <f t="shared" si="121"/>
        <v>1</v>
      </c>
      <c r="AH173" s="12">
        <f t="shared" si="122"/>
        <v>1</v>
      </c>
      <c r="AI173" s="12">
        <f t="shared" si="123"/>
        <v>1</v>
      </c>
      <c r="AJ173" s="12">
        <f t="shared" si="124"/>
        <v>1</v>
      </c>
      <c r="AK173" s="12">
        <f t="shared" si="125"/>
        <v>1</v>
      </c>
      <c r="AL173" s="12">
        <f t="shared" si="126"/>
        <v>1</v>
      </c>
      <c r="AM173" s="12">
        <f t="shared" si="100"/>
        <v>1</v>
      </c>
      <c r="AN173" s="12">
        <f t="shared" si="101"/>
        <v>1</v>
      </c>
      <c r="AO173" s="12">
        <f t="shared" si="102"/>
        <v>1</v>
      </c>
      <c r="AP173" s="12">
        <f t="shared" si="103"/>
        <v>1</v>
      </c>
      <c r="AQ173" s="12">
        <f t="shared" si="104"/>
        <v>1</v>
      </c>
      <c r="AR173" s="12">
        <f t="shared" si="105"/>
        <v>1</v>
      </c>
      <c r="AS173" s="12" cm="1">
        <f t="array" ref="AS173">IF(AND(H173&lt;&gt;"",SUMPRODUCT(--ISNUMBER(FIND({0;1;2;3;4;5;6;7;8;9},H173)))=0),1,0)</f>
        <v>1</v>
      </c>
      <c r="AT173" s="12" cm="1">
        <f t="array" ref="AT173">IF(AND(I173&lt;&gt;"",SUMPRODUCT(--ISNUMBER(FIND({0;1;2;3;4;5;6;7;8;9},I173)))=0),1,0)</f>
        <v>1</v>
      </c>
      <c r="AU173" s="12" cm="1">
        <f t="array" ref="AU173">IF(AND(J173&lt;&gt;"",SUMPRODUCT(--ISNUMBER(FIND({0;1;2;3;4;5;6;7;8;9},J173)))=0),1,0)</f>
        <v>1</v>
      </c>
      <c r="AV173" s="12">
        <f t="shared" si="127"/>
        <v>1</v>
      </c>
      <c r="AW173" s="12">
        <f t="shared" ca="1" si="106"/>
        <v>1</v>
      </c>
      <c r="AX173" s="12">
        <f t="shared" si="107"/>
        <v>1</v>
      </c>
      <c r="AY173" s="12">
        <f t="shared" si="108"/>
        <v>1</v>
      </c>
      <c r="AZ173" s="12">
        <f t="shared" si="109"/>
        <v>1</v>
      </c>
      <c r="BA173" s="12">
        <f t="shared" si="110"/>
        <v>1</v>
      </c>
      <c r="BB173" s="12">
        <f t="shared" si="111"/>
        <v>1</v>
      </c>
      <c r="BC173" s="12">
        <f ca="1">IF(AND(ISNUMBER(R173),R173&lt;=TODAY()),1,0)</f>
        <v>1</v>
      </c>
      <c r="BD173" s="12">
        <f t="shared" si="113"/>
        <v>1</v>
      </c>
      <c r="BE173" s="12">
        <f t="shared" si="114"/>
        <v>1</v>
      </c>
      <c r="BF173" s="12">
        <f t="shared" si="115"/>
        <v>1</v>
      </c>
      <c r="BG173" s="12">
        <f t="shared" ca="1" si="116"/>
        <v>0</v>
      </c>
    </row>
    <row r="174" spans="1:59" ht="15.75" customHeight="1" x14ac:dyDescent="0.2">
      <c r="A174" s="19">
        <f t="shared" si="90"/>
        <v>1</v>
      </c>
      <c r="B174" s="20">
        <f t="shared" si="91"/>
        <v>1</v>
      </c>
      <c r="C174" s="20">
        <f t="shared" ca="1" si="92"/>
        <v>1</v>
      </c>
      <c r="D174" s="50">
        <f t="shared" ca="1" si="117"/>
        <v>0</v>
      </c>
      <c r="E174" s="11" t="s">
        <v>716</v>
      </c>
      <c r="F174" s="11" t="s">
        <v>160</v>
      </c>
      <c r="G174" s="11">
        <v>1000000173</v>
      </c>
      <c r="H174" s="11" t="s">
        <v>294</v>
      </c>
      <c r="I174" s="11" t="s">
        <v>162</v>
      </c>
      <c r="J174" s="11" t="s">
        <v>267</v>
      </c>
      <c r="K174" s="11" t="s">
        <v>185</v>
      </c>
      <c r="L174" s="70">
        <v>31942</v>
      </c>
      <c r="M174" s="11" t="s">
        <v>717</v>
      </c>
      <c r="N174" s="11">
        <v>3354825243</v>
      </c>
      <c r="O174" s="11" t="s">
        <v>718</v>
      </c>
      <c r="P174" s="11" t="s">
        <v>144</v>
      </c>
      <c r="Q174" s="11" t="s">
        <v>145</v>
      </c>
      <c r="R174" s="68">
        <v>45109</v>
      </c>
      <c r="S174" s="11" t="s">
        <v>157</v>
      </c>
      <c r="T174" s="11" t="s">
        <v>166</v>
      </c>
      <c r="U174" s="11">
        <v>90000</v>
      </c>
      <c r="V174" s="68">
        <v>45341</v>
      </c>
      <c r="W174" s="12">
        <f t="shared" si="93"/>
        <v>1</v>
      </c>
      <c r="X174" s="12">
        <f t="shared" si="94"/>
        <v>1</v>
      </c>
      <c r="Y174" s="12">
        <f t="shared" si="95"/>
        <v>1</v>
      </c>
      <c r="Z174" s="12">
        <f t="shared" si="96"/>
        <v>1</v>
      </c>
      <c r="AA174" s="12">
        <f t="shared" si="97"/>
        <v>1</v>
      </c>
      <c r="AB174" s="12">
        <f t="shared" si="98"/>
        <v>1</v>
      </c>
      <c r="AC174" s="12">
        <f t="shared" si="99"/>
        <v>1</v>
      </c>
      <c r="AD174" s="12">
        <f t="shared" si="118"/>
        <v>1</v>
      </c>
      <c r="AE174" s="12">
        <f t="shared" si="119"/>
        <v>1</v>
      </c>
      <c r="AF174" s="12">
        <f t="shared" si="120"/>
        <v>1</v>
      </c>
      <c r="AG174" s="12">
        <f t="shared" si="121"/>
        <v>1</v>
      </c>
      <c r="AH174" s="12">
        <f t="shared" si="122"/>
        <v>1</v>
      </c>
      <c r="AI174" s="12">
        <f t="shared" si="123"/>
        <v>1</v>
      </c>
      <c r="AJ174" s="12">
        <f t="shared" si="124"/>
        <v>1</v>
      </c>
      <c r="AK174" s="12">
        <f t="shared" si="125"/>
        <v>1</v>
      </c>
      <c r="AL174" s="12">
        <f t="shared" si="126"/>
        <v>1</v>
      </c>
      <c r="AM174" s="12">
        <f t="shared" si="100"/>
        <v>1</v>
      </c>
      <c r="AN174" s="12">
        <f t="shared" si="101"/>
        <v>1</v>
      </c>
      <c r="AO174" s="12">
        <f t="shared" si="102"/>
        <v>1</v>
      </c>
      <c r="AP174" s="12">
        <f t="shared" si="103"/>
        <v>1</v>
      </c>
      <c r="AQ174" s="12">
        <f t="shared" si="104"/>
        <v>1</v>
      </c>
      <c r="AR174" s="12">
        <f t="shared" si="105"/>
        <v>1</v>
      </c>
      <c r="AS174" s="12" cm="1">
        <f t="array" ref="AS174">IF(AND(H174&lt;&gt;"",SUMPRODUCT(--ISNUMBER(FIND({0;1;2;3;4;5;6;7;8;9},H174)))=0),1,0)</f>
        <v>1</v>
      </c>
      <c r="AT174" s="12" cm="1">
        <f t="array" ref="AT174">IF(AND(I174&lt;&gt;"",SUMPRODUCT(--ISNUMBER(FIND({0;1;2;3;4;5;6;7;8;9},I174)))=0),1,0)</f>
        <v>1</v>
      </c>
      <c r="AU174" s="12" cm="1">
        <f t="array" ref="AU174">IF(AND(J174&lt;&gt;"",SUMPRODUCT(--ISNUMBER(FIND({0;1;2;3;4;5;6;7;8;9},J174)))=0),1,0)</f>
        <v>1</v>
      </c>
      <c r="AV174" s="12">
        <f t="shared" si="127"/>
        <v>1</v>
      </c>
      <c r="AW174" s="12">
        <f t="shared" ca="1" si="106"/>
        <v>1</v>
      </c>
      <c r="AX174" s="12">
        <f t="shared" si="107"/>
        <v>1</v>
      </c>
      <c r="AY174" s="12">
        <f t="shared" si="108"/>
        <v>1</v>
      </c>
      <c r="AZ174" s="12">
        <f t="shared" si="109"/>
        <v>1</v>
      </c>
      <c r="BA174" s="12">
        <f t="shared" si="110"/>
        <v>1</v>
      </c>
      <c r="BB174" s="12">
        <f t="shared" si="111"/>
        <v>1</v>
      </c>
      <c r="BC174" s="12">
        <f t="shared" ca="1" si="112"/>
        <v>1</v>
      </c>
      <c r="BD174" s="12">
        <f t="shared" si="113"/>
        <v>1</v>
      </c>
      <c r="BE174" s="12">
        <f t="shared" si="114"/>
        <v>1</v>
      </c>
      <c r="BF174" s="12">
        <f t="shared" si="115"/>
        <v>1</v>
      </c>
      <c r="BG174" s="12">
        <f t="shared" ca="1" si="116"/>
        <v>1</v>
      </c>
    </row>
    <row r="175" spans="1:59" ht="15.75" customHeight="1" x14ac:dyDescent="0.2">
      <c r="A175" s="19">
        <f t="shared" si="90"/>
        <v>1</v>
      </c>
      <c r="B175" s="20">
        <f t="shared" si="91"/>
        <v>1</v>
      </c>
      <c r="C175" s="20">
        <f t="shared" ca="1" si="92"/>
        <v>1</v>
      </c>
      <c r="D175" s="50">
        <f t="shared" ca="1" si="117"/>
        <v>0</v>
      </c>
      <c r="E175" s="11" t="s">
        <v>719</v>
      </c>
      <c r="F175" s="11" t="s">
        <v>149</v>
      </c>
      <c r="G175" s="11">
        <v>1000000174</v>
      </c>
      <c r="H175" s="11" t="s">
        <v>211</v>
      </c>
      <c r="I175" s="11" t="s">
        <v>151</v>
      </c>
      <c r="J175" s="11" t="s">
        <v>231</v>
      </c>
      <c r="K175" s="11" t="s">
        <v>141</v>
      </c>
      <c r="L175" s="70">
        <v>30916</v>
      </c>
      <c r="M175" s="11" t="s">
        <v>720</v>
      </c>
      <c r="N175" s="11">
        <v>3509513842</v>
      </c>
      <c r="O175" s="11" t="s">
        <v>721</v>
      </c>
      <c r="P175" s="11" t="s">
        <v>165</v>
      </c>
      <c r="Q175" s="11" t="s">
        <v>156</v>
      </c>
      <c r="R175" s="68">
        <v>44857</v>
      </c>
      <c r="S175" s="11" t="s">
        <v>174</v>
      </c>
      <c r="T175" s="11" t="s">
        <v>147</v>
      </c>
      <c r="U175" s="11">
        <v>95000</v>
      </c>
      <c r="V175" s="68">
        <v>45012</v>
      </c>
      <c r="W175" s="12">
        <f t="shared" si="93"/>
        <v>1</v>
      </c>
      <c r="X175" s="12">
        <f t="shared" si="94"/>
        <v>1</v>
      </c>
      <c r="Y175" s="12">
        <f t="shared" si="95"/>
        <v>1</v>
      </c>
      <c r="Z175" s="12">
        <f t="shared" si="96"/>
        <v>1</v>
      </c>
      <c r="AA175" s="12">
        <f t="shared" si="97"/>
        <v>1</v>
      </c>
      <c r="AB175" s="12">
        <f t="shared" si="98"/>
        <v>1</v>
      </c>
      <c r="AC175" s="12">
        <f t="shared" si="99"/>
        <v>1</v>
      </c>
      <c r="AD175" s="12">
        <f t="shared" si="118"/>
        <v>1</v>
      </c>
      <c r="AE175" s="12">
        <f t="shared" si="119"/>
        <v>1</v>
      </c>
      <c r="AF175" s="12">
        <f t="shared" si="120"/>
        <v>1</v>
      </c>
      <c r="AG175" s="12">
        <f t="shared" si="121"/>
        <v>1</v>
      </c>
      <c r="AH175" s="12">
        <f t="shared" si="122"/>
        <v>1</v>
      </c>
      <c r="AI175" s="12">
        <f t="shared" si="123"/>
        <v>1</v>
      </c>
      <c r="AJ175" s="12">
        <f t="shared" si="124"/>
        <v>1</v>
      </c>
      <c r="AK175" s="12">
        <f t="shared" si="125"/>
        <v>1</v>
      </c>
      <c r="AL175" s="12">
        <f t="shared" si="126"/>
        <v>1</v>
      </c>
      <c r="AM175" s="12">
        <f t="shared" si="100"/>
        <v>1</v>
      </c>
      <c r="AN175" s="12">
        <f t="shared" si="101"/>
        <v>1</v>
      </c>
      <c r="AO175" s="12">
        <f t="shared" si="102"/>
        <v>1</v>
      </c>
      <c r="AP175" s="12">
        <f t="shared" si="103"/>
        <v>1</v>
      </c>
      <c r="AQ175" s="12">
        <f t="shared" si="104"/>
        <v>1</v>
      </c>
      <c r="AR175" s="12">
        <f t="shared" si="105"/>
        <v>1</v>
      </c>
      <c r="AS175" s="12" cm="1">
        <f t="array" ref="AS175">IF(AND(H175&lt;&gt;"",SUMPRODUCT(--ISNUMBER(FIND({0;1;2;3;4;5;6;7;8;9},H175)))=0),1,0)</f>
        <v>1</v>
      </c>
      <c r="AT175" s="12" cm="1">
        <f t="array" ref="AT175">IF(AND(I175&lt;&gt;"",SUMPRODUCT(--ISNUMBER(FIND({0;1;2;3;4;5;6;7;8;9},I175)))=0),1,0)</f>
        <v>1</v>
      </c>
      <c r="AU175" s="12" cm="1">
        <f t="array" ref="AU175">IF(AND(J175&lt;&gt;"",SUMPRODUCT(--ISNUMBER(FIND({0;1;2;3;4;5;6;7;8;9},J175)))=0),1,0)</f>
        <v>1</v>
      </c>
      <c r="AV175" s="12">
        <f t="shared" si="127"/>
        <v>1</v>
      </c>
      <c r="AW175" s="12">
        <f t="shared" ca="1" si="106"/>
        <v>1</v>
      </c>
      <c r="AX175" s="12">
        <f t="shared" si="107"/>
        <v>1</v>
      </c>
      <c r="AY175" s="12">
        <f t="shared" si="108"/>
        <v>1</v>
      </c>
      <c r="AZ175" s="12">
        <f t="shared" si="109"/>
        <v>1</v>
      </c>
      <c r="BA175" s="12">
        <f t="shared" si="110"/>
        <v>1</v>
      </c>
      <c r="BB175" s="12">
        <f t="shared" si="111"/>
        <v>1</v>
      </c>
      <c r="BC175" s="12">
        <f t="shared" ca="1" si="112"/>
        <v>1</v>
      </c>
      <c r="BD175" s="12">
        <f t="shared" si="113"/>
        <v>1</v>
      </c>
      <c r="BE175" s="12">
        <f t="shared" si="114"/>
        <v>1</v>
      </c>
      <c r="BF175" s="12">
        <f t="shared" si="115"/>
        <v>1</v>
      </c>
      <c r="BG175" s="12">
        <f t="shared" ca="1" si="116"/>
        <v>1</v>
      </c>
    </row>
    <row r="176" spans="1:59" ht="15.75" customHeight="1" x14ac:dyDescent="0.2">
      <c r="A176" s="19">
        <f t="shared" si="90"/>
        <v>1</v>
      </c>
      <c r="B176" s="20">
        <f t="shared" si="91"/>
        <v>0</v>
      </c>
      <c r="C176" s="20">
        <f t="shared" ca="1" si="92"/>
        <v>0</v>
      </c>
      <c r="D176" s="50">
        <f t="shared" ca="1" si="117"/>
        <v>1</v>
      </c>
      <c r="E176" s="11" t="s">
        <v>722</v>
      </c>
      <c r="F176" s="11" t="s">
        <v>160</v>
      </c>
      <c r="G176" s="11">
        <v>1000000175</v>
      </c>
      <c r="H176" s="11" t="s">
        <v>321</v>
      </c>
      <c r="I176" s="11" t="s">
        <v>152</v>
      </c>
      <c r="J176" s="11" t="s">
        <v>140</v>
      </c>
      <c r="K176" s="11" t="s">
        <v>185</v>
      </c>
      <c r="L176" s="70">
        <v>35482</v>
      </c>
      <c r="M176" s="11" t="s">
        <v>723</v>
      </c>
      <c r="N176" s="11">
        <v>3791343029</v>
      </c>
      <c r="O176" s="11" t="s">
        <v>724</v>
      </c>
      <c r="P176" s="11" t="s">
        <v>179</v>
      </c>
      <c r="Q176" s="11" t="s">
        <v>180</v>
      </c>
      <c r="S176" s="11" t="s">
        <v>146</v>
      </c>
      <c r="T176" s="11" t="s">
        <v>166</v>
      </c>
      <c r="U176" s="11">
        <v>90000</v>
      </c>
      <c r="V176" s="68">
        <v>45842</v>
      </c>
      <c r="W176" s="12">
        <f t="shared" si="93"/>
        <v>1</v>
      </c>
      <c r="X176" s="12">
        <f t="shared" si="94"/>
        <v>1</v>
      </c>
      <c r="Y176" s="12">
        <f t="shared" si="95"/>
        <v>1</v>
      </c>
      <c r="Z176" s="12">
        <f t="shared" si="96"/>
        <v>1</v>
      </c>
      <c r="AA176" s="12">
        <f t="shared" si="97"/>
        <v>1</v>
      </c>
      <c r="AB176" s="12">
        <f t="shared" si="98"/>
        <v>1</v>
      </c>
      <c r="AC176" s="12">
        <f t="shared" si="99"/>
        <v>1</v>
      </c>
      <c r="AD176" s="12">
        <f t="shared" si="118"/>
        <v>1</v>
      </c>
      <c r="AE176" s="12">
        <f t="shared" si="119"/>
        <v>1</v>
      </c>
      <c r="AF176" s="12">
        <f t="shared" si="120"/>
        <v>1</v>
      </c>
      <c r="AG176" s="12">
        <f t="shared" si="121"/>
        <v>1</v>
      </c>
      <c r="AH176" s="12">
        <f t="shared" si="122"/>
        <v>1</v>
      </c>
      <c r="AI176" s="12">
        <f t="shared" si="123"/>
        <v>1</v>
      </c>
      <c r="AJ176" s="12">
        <f t="shared" si="124"/>
        <v>1</v>
      </c>
      <c r="AK176" s="12">
        <f t="shared" si="125"/>
        <v>0</v>
      </c>
      <c r="AL176" s="12">
        <f t="shared" si="126"/>
        <v>1</v>
      </c>
      <c r="AM176" s="12">
        <f t="shared" si="100"/>
        <v>1</v>
      </c>
      <c r="AN176" s="12">
        <f t="shared" si="101"/>
        <v>1</v>
      </c>
      <c r="AO176" s="12">
        <f t="shared" si="102"/>
        <v>1</v>
      </c>
      <c r="AP176" s="12">
        <f t="shared" si="103"/>
        <v>1</v>
      </c>
      <c r="AQ176" s="12">
        <f t="shared" si="104"/>
        <v>1</v>
      </c>
      <c r="AR176" s="12">
        <f t="shared" si="105"/>
        <v>1</v>
      </c>
      <c r="AS176" s="12" cm="1">
        <f t="array" ref="AS176">IF(AND(H176&lt;&gt;"",SUMPRODUCT(--ISNUMBER(FIND({0;1;2;3;4;5;6;7;8;9},H176)))=0),1,0)</f>
        <v>1</v>
      </c>
      <c r="AT176" s="12" cm="1">
        <f t="array" ref="AT176">IF(AND(I176&lt;&gt;"",SUMPRODUCT(--ISNUMBER(FIND({0;1;2;3;4;5;6;7;8;9},I176)))=0),1,0)</f>
        <v>1</v>
      </c>
      <c r="AU176" s="12" cm="1">
        <f t="array" ref="AU176">IF(AND(J176&lt;&gt;"",SUMPRODUCT(--ISNUMBER(FIND({0;1;2;3;4;5;6;7;8;9},J176)))=0),1,0)</f>
        <v>1</v>
      </c>
      <c r="AV176" s="12">
        <f t="shared" si="127"/>
        <v>1</v>
      </c>
      <c r="AW176" s="12">
        <f t="shared" ca="1" si="106"/>
        <v>1</v>
      </c>
      <c r="AX176" s="12">
        <f t="shared" si="107"/>
        <v>1</v>
      </c>
      <c r="AY176" s="12">
        <f t="shared" si="108"/>
        <v>1</v>
      </c>
      <c r="AZ176" s="12">
        <f t="shared" si="109"/>
        <v>1</v>
      </c>
      <c r="BA176" s="12">
        <f t="shared" si="110"/>
        <v>1</v>
      </c>
      <c r="BB176" s="12">
        <f t="shared" si="111"/>
        <v>1</v>
      </c>
      <c r="BC176" s="12">
        <f t="shared" ca="1" si="112"/>
        <v>0</v>
      </c>
      <c r="BD176" s="12">
        <f t="shared" si="113"/>
        <v>1</v>
      </c>
      <c r="BE176" s="12">
        <f t="shared" si="114"/>
        <v>1</v>
      </c>
      <c r="BF176" s="12">
        <f t="shared" si="115"/>
        <v>1</v>
      </c>
      <c r="BG176" s="12">
        <f t="shared" ca="1" si="116"/>
        <v>1</v>
      </c>
    </row>
    <row r="177" spans="1:59" ht="15.75" customHeight="1" x14ac:dyDescent="0.2">
      <c r="A177" s="19">
        <f t="shared" si="90"/>
        <v>1</v>
      </c>
      <c r="B177" s="20">
        <f t="shared" si="91"/>
        <v>1</v>
      </c>
      <c r="C177" s="20">
        <f t="shared" ca="1" si="92"/>
        <v>0</v>
      </c>
      <c r="D177" s="50">
        <f t="shared" ca="1" si="117"/>
        <v>1</v>
      </c>
      <c r="E177" s="11" t="s">
        <v>725</v>
      </c>
      <c r="F177" s="11" t="s">
        <v>160</v>
      </c>
      <c r="G177" s="11">
        <v>1000000176</v>
      </c>
      <c r="H177" s="11" t="s">
        <v>220</v>
      </c>
      <c r="I177" s="11" t="s">
        <v>162</v>
      </c>
      <c r="J177" s="11" t="s">
        <v>151</v>
      </c>
      <c r="K177" s="11" t="s">
        <v>141</v>
      </c>
      <c r="L177" s="70">
        <v>30107</v>
      </c>
      <c r="M177" s="11" t="s">
        <v>726</v>
      </c>
      <c r="N177" s="11">
        <v>3985287386</v>
      </c>
      <c r="O177" s="11" t="s">
        <v>727</v>
      </c>
      <c r="P177" s="11" t="s">
        <v>165</v>
      </c>
      <c r="Q177" s="11" t="s">
        <v>156</v>
      </c>
      <c r="R177" s="68">
        <v>46150</v>
      </c>
      <c r="S177" s="11" t="s">
        <v>174</v>
      </c>
      <c r="T177" s="11" t="s">
        <v>147</v>
      </c>
      <c r="U177" s="11">
        <v>90000</v>
      </c>
      <c r="V177" s="68">
        <v>46347</v>
      </c>
      <c r="W177" s="12">
        <f t="shared" si="93"/>
        <v>1</v>
      </c>
      <c r="X177" s="12">
        <f t="shared" si="94"/>
        <v>1</v>
      </c>
      <c r="Y177" s="12">
        <f t="shared" si="95"/>
        <v>1</v>
      </c>
      <c r="Z177" s="12">
        <f t="shared" si="96"/>
        <v>1</v>
      </c>
      <c r="AA177" s="12">
        <f t="shared" si="97"/>
        <v>1</v>
      </c>
      <c r="AB177" s="12">
        <f t="shared" si="98"/>
        <v>1</v>
      </c>
      <c r="AC177" s="12">
        <f t="shared" si="99"/>
        <v>1</v>
      </c>
      <c r="AD177" s="12">
        <f t="shared" si="118"/>
        <v>1</v>
      </c>
      <c r="AE177" s="12">
        <f t="shared" si="119"/>
        <v>1</v>
      </c>
      <c r="AF177" s="12">
        <f t="shared" si="120"/>
        <v>1</v>
      </c>
      <c r="AG177" s="12">
        <f t="shared" si="121"/>
        <v>1</v>
      </c>
      <c r="AH177" s="12">
        <f t="shared" si="122"/>
        <v>1</v>
      </c>
      <c r="AI177" s="12">
        <f t="shared" si="123"/>
        <v>1</v>
      </c>
      <c r="AJ177" s="12">
        <f t="shared" si="124"/>
        <v>1</v>
      </c>
      <c r="AK177" s="12">
        <f t="shared" si="125"/>
        <v>1</v>
      </c>
      <c r="AL177" s="12">
        <f t="shared" si="126"/>
        <v>1</v>
      </c>
      <c r="AM177" s="12">
        <f t="shared" si="100"/>
        <v>1</v>
      </c>
      <c r="AN177" s="12">
        <f t="shared" si="101"/>
        <v>1</v>
      </c>
      <c r="AO177" s="12">
        <f t="shared" si="102"/>
        <v>1</v>
      </c>
      <c r="AP177" s="12">
        <f t="shared" si="103"/>
        <v>1</v>
      </c>
      <c r="AQ177" s="12">
        <f t="shared" si="104"/>
        <v>1</v>
      </c>
      <c r="AR177" s="12">
        <f t="shared" si="105"/>
        <v>1</v>
      </c>
      <c r="AS177" s="12" cm="1">
        <f t="array" ref="AS177">IF(AND(H177&lt;&gt;"",SUMPRODUCT(--ISNUMBER(FIND({0;1;2;3;4;5;6;7;8;9},H177)))=0),1,0)</f>
        <v>1</v>
      </c>
      <c r="AT177" s="12" cm="1">
        <f t="array" ref="AT177">IF(AND(I177&lt;&gt;"",SUMPRODUCT(--ISNUMBER(FIND({0;1;2;3;4;5;6;7;8;9},I177)))=0),1,0)</f>
        <v>1</v>
      </c>
      <c r="AU177" s="12" cm="1">
        <f t="array" ref="AU177">IF(AND(J177&lt;&gt;"",SUMPRODUCT(--ISNUMBER(FIND({0;1;2;3;4;5;6;7;8;9},J177)))=0),1,0)</f>
        <v>1</v>
      </c>
      <c r="AV177" s="12">
        <f t="shared" si="127"/>
        <v>1</v>
      </c>
      <c r="AW177" s="12">
        <f t="shared" ca="1" si="106"/>
        <v>1</v>
      </c>
      <c r="AX177" s="12">
        <f t="shared" si="107"/>
        <v>1</v>
      </c>
      <c r="AY177" s="12">
        <f t="shared" si="108"/>
        <v>1</v>
      </c>
      <c r="AZ177" s="12">
        <f t="shared" si="109"/>
        <v>1</v>
      </c>
      <c r="BA177" s="12">
        <f t="shared" si="110"/>
        <v>1</v>
      </c>
      <c r="BB177" s="12">
        <f t="shared" si="111"/>
        <v>1</v>
      </c>
      <c r="BC177" s="12">
        <f t="shared" ca="1" si="112"/>
        <v>1</v>
      </c>
      <c r="BD177" s="12">
        <f t="shared" si="113"/>
        <v>1</v>
      </c>
      <c r="BE177" s="12">
        <f t="shared" si="114"/>
        <v>1</v>
      </c>
      <c r="BF177" s="12">
        <f t="shared" si="115"/>
        <v>1</v>
      </c>
      <c r="BG177" s="12">
        <f t="shared" ca="1" si="116"/>
        <v>0</v>
      </c>
    </row>
    <row r="178" spans="1:59" ht="15.75" customHeight="1" x14ac:dyDescent="0.2">
      <c r="A178" s="19">
        <f t="shared" si="90"/>
        <v>1</v>
      </c>
      <c r="B178" s="20">
        <f t="shared" si="91"/>
        <v>1</v>
      </c>
      <c r="C178" s="20">
        <f t="shared" ca="1" si="92"/>
        <v>1</v>
      </c>
      <c r="D178" s="50">
        <f t="shared" ca="1" si="117"/>
        <v>0</v>
      </c>
      <c r="E178" s="11" t="s">
        <v>728</v>
      </c>
      <c r="F178" s="11" t="s">
        <v>137</v>
      </c>
      <c r="G178" s="11">
        <v>1000000177</v>
      </c>
      <c r="H178" s="11" t="s">
        <v>321</v>
      </c>
      <c r="I178" s="11" t="s">
        <v>267</v>
      </c>
      <c r="J178" s="11" t="s">
        <v>260</v>
      </c>
      <c r="K178" s="11" t="s">
        <v>185</v>
      </c>
      <c r="L178" s="70">
        <v>24057</v>
      </c>
      <c r="M178" s="11" t="s">
        <v>729</v>
      </c>
      <c r="N178" s="11">
        <v>3482465935</v>
      </c>
      <c r="O178" s="11" t="s">
        <v>730</v>
      </c>
      <c r="P178" s="11" t="s">
        <v>248</v>
      </c>
      <c r="Q178" s="11" t="s">
        <v>249</v>
      </c>
      <c r="R178" s="68">
        <v>45128</v>
      </c>
      <c r="S178" s="11" t="s">
        <v>157</v>
      </c>
      <c r="T178" s="11" t="s">
        <v>147</v>
      </c>
      <c r="U178" s="11">
        <v>90000</v>
      </c>
      <c r="V178" s="68">
        <v>45413</v>
      </c>
      <c r="W178" s="12">
        <f t="shared" si="93"/>
        <v>1</v>
      </c>
      <c r="X178" s="12">
        <f t="shared" si="94"/>
        <v>1</v>
      </c>
      <c r="Y178" s="12">
        <f t="shared" si="95"/>
        <v>1</v>
      </c>
      <c r="Z178" s="12">
        <f t="shared" si="96"/>
        <v>1</v>
      </c>
      <c r="AA178" s="12">
        <f t="shared" si="97"/>
        <v>1</v>
      </c>
      <c r="AB178" s="12">
        <f t="shared" si="98"/>
        <v>1</v>
      </c>
      <c r="AC178" s="12">
        <f t="shared" si="99"/>
        <v>1</v>
      </c>
      <c r="AD178" s="12">
        <f t="shared" si="118"/>
        <v>1</v>
      </c>
      <c r="AE178" s="12">
        <f t="shared" si="119"/>
        <v>1</v>
      </c>
      <c r="AF178" s="12">
        <f t="shared" si="120"/>
        <v>1</v>
      </c>
      <c r="AG178" s="12">
        <f t="shared" si="121"/>
        <v>1</v>
      </c>
      <c r="AH178" s="12">
        <f t="shared" si="122"/>
        <v>1</v>
      </c>
      <c r="AI178" s="12">
        <f t="shared" si="123"/>
        <v>1</v>
      </c>
      <c r="AJ178" s="12">
        <f t="shared" si="124"/>
        <v>1</v>
      </c>
      <c r="AK178" s="12">
        <f t="shared" si="125"/>
        <v>1</v>
      </c>
      <c r="AL178" s="12">
        <f t="shared" si="126"/>
        <v>1</v>
      </c>
      <c r="AM178" s="12">
        <f t="shared" si="100"/>
        <v>1</v>
      </c>
      <c r="AN178" s="12">
        <f t="shared" si="101"/>
        <v>1</v>
      </c>
      <c r="AO178" s="12">
        <f t="shared" si="102"/>
        <v>1</v>
      </c>
      <c r="AP178" s="12">
        <f t="shared" si="103"/>
        <v>1</v>
      </c>
      <c r="AQ178" s="12">
        <f t="shared" si="104"/>
        <v>1</v>
      </c>
      <c r="AR178" s="12">
        <f t="shared" si="105"/>
        <v>1</v>
      </c>
      <c r="AS178" s="12" cm="1">
        <f t="array" ref="AS178">IF(AND(H178&lt;&gt;"",SUMPRODUCT(--ISNUMBER(FIND({0;1;2;3;4;5;6;7;8;9},H178)))=0),1,0)</f>
        <v>1</v>
      </c>
      <c r="AT178" s="12" cm="1">
        <f t="array" ref="AT178">IF(AND(I178&lt;&gt;"",SUMPRODUCT(--ISNUMBER(FIND({0;1;2;3;4;5;6;7;8;9},I178)))=0),1,0)</f>
        <v>1</v>
      </c>
      <c r="AU178" s="12" cm="1">
        <f t="array" ref="AU178">IF(AND(J178&lt;&gt;"",SUMPRODUCT(--ISNUMBER(FIND({0;1;2;3;4;5;6;7;8;9},J178)))=0),1,0)</f>
        <v>1</v>
      </c>
      <c r="AV178" s="12">
        <f t="shared" si="127"/>
        <v>1</v>
      </c>
      <c r="AW178" s="12">
        <f t="shared" ca="1" si="106"/>
        <v>1</v>
      </c>
      <c r="AX178" s="12">
        <f t="shared" si="107"/>
        <v>1</v>
      </c>
      <c r="AY178" s="12">
        <f t="shared" si="108"/>
        <v>1</v>
      </c>
      <c r="AZ178" s="12">
        <f t="shared" si="109"/>
        <v>1</v>
      </c>
      <c r="BA178" s="12">
        <f t="shared" si="110"/>
        <v>1</v>
      </c>
      <c r="BB178" s="12">
        <f t="shared" si="111"/>
        <v>1</v>
      </c>
      <c r="BC178" s="12">
        <f t="shared" ca="1" si="112"/>
        <v>1</v>
      </c>
      <c r="BD178" s="12">
        <f t="shared" si="113"/>
        <v>1</v>
      </c>
      <c r="BE178" s="12">
        <f t="shared" si="114"/>
        <v>1</v>
      </c>
      <c r="BF178" s="12">
        <f t="shared" si="115"/>
        <v>1</v>
      </c>
      <c r="BG178" s="12">
        <f t="shared" ca="1" si="116"/>
        <v>1</v>
      </c>
    </row>
    <row r="179" spans="1:59" ht="15.75" customHeight="1" x14ac:dyDescent="0.2">
      <c r="A179" s="19">
        <f t="shared" si="90"/>
        <v>1</v>
      </c>
      <c r="B179" s="20">
        <f t="shared" si="91"/>
        <v>1</v>
      </c>
      <c r="C179" s="20">
        <f t="shared" ca="1" si="92"/>
        <v>1</v>
      </c>
      <c r="D179" s="50">
        <f t="shared" ca="1" si="117"/>
        <v>0</v>
      </c>
      <c r="E179" s="11" t="s">
        <v>731</v>
      </c>
      <c r="F179" s="11" t="s">
        <v>137</v>
      </c>
      <c r="G179" s="11">
        <v>1000000178</v>
      </c>
      <c r="H179" s="11" t="s">
        <v>189</v>
      </c>
      <c r="I179" s="11" t="s">
        <v>195</v>
      </c>
      <c r="J179" s="11" t="s">
        <v>231</v>
      </c>
      <c r="K179" s="11" t="s">
        <v>185</v>
      </c>
      <c r="L179" s="70">
        <v>37109</v>
      </c>
      <c r="M179" s="11" t="s">
        <v>732</v>
      </c>
      <c r="N179" s="11">
        <v>3489451190</v>
      </c>
      <c r="O179" s="11" t="s">
        <v>733</v>
      </c>
      <c r="P179" s="11" t="s">
        <v>248</v>
      </c>
      <c r="Q179" s="11" t="s">
        <v>249</v>
      </c>
      <c r="R179" s="68">
        <v>45231</v>
      </c>
      <c r="S179" s="11" t="s">
        <v>174</v>
      </c>
      <c r="T179" s="11" t="s">
        <v>158</v>
      </c>
      <c r="U179" s="11">
        <v>95000</v>
      </c>
      <c r="V179" s="68">
        <v>45342</v>
      </c>
      <c r="W179" s="12">
        <f t="shared" si="93"/>
        <v>1</v>
      </c>
      <c r="X179" s="12">
        <f t="shared" si="94"/>
        <v>1</v>
      </c>
      <c r="Y179" s="12">
        <f t="shared" si="95"/>
        <v>1</v>
      </c>
      <c r="Z179" s="12">
        <f t="shared" si="96"/>
        <v>1</v>
      </c>
      <c r="AA179" s="12">
        <f t="shared" si="97"/>
        <v>1</v>
      </c>
      <c r="AB179" s="12">
        <f t="shared" si="98"/>
        <v>1</v>
      </c>
      <c r="AC179" s="12">
        <f t="shared" si="99"/>
        <v>1</v>
      </c>
      <c r="AD179" s="12">
        <f t="shared" si="118"/>
        <v>1</v>
      </c>
      <c r="AE179" s="12">
        <f t="shared" si="119"/>
        <v>1</v>
      </c>
      <c r="AF179" s="12">
        <f t="shared" si="120"/>
        <v>1</v>
      </c>
      <c r="AG179" s="12">
        <f t="shared" si="121"/>
        <v>1</v>
      </c>
      <c r="AH179" s="12">
        <f t="shared" si="122"/>
        <v>1</v>
      </c>
      <c r="AI179" s="12">
        <f t="shared" si="123"/>
        <v>1</v>
      </c>
      <c r="AJ179" s="12">
        <f t="shared" si="124"/>
        <v>1</v>
      </c>
      <c r="AK179" s="12">
        <f t="shared" si="125"/>
        <v>1</v>
      </c>
      <c r="AL179" s="12">
        <f t="shared" si="126"/>
        <v>1</v>
      </c>
      <c r="AM179" s="12">
        <f t="shared" si="100"/>
        <v>1</v>
      </c>
      <c r="AN179" s="12">
        <f t="shared" si="101"/>
        <v>1</v>
      </c>
      <c r="AO179" s="12">
        <f t="shared" si="102"/>
        <v>1</v>
      </c>
      <c r="AP179" s="12">
        <f t="shared" si="103"/>
        <v>1</v>
      </c>
      <c r="AQ179" s="12">
        <f t="shared" si="104"/>
        <v>1</v>
      </c>
      <c r="AR179" s="12">
        <f t="shared" si="105"/>
        <v>1</v>
      </c>
      <c r="AS179" s="12" cm="1">
        <f t="array" ref="AS179">IF(AND(H179&lt;&gt;"",SUMPRODUCT(--ISNUMBER(FIND({0;1;2;3;4;5;6;7;8;9},H179)))=0),1,0)</f>
        <v>1</v>
      </c>
      <c r="AT179" s="12" cm="1">
        <f t="array" ref="AT179">IF(AND(I179&lt;&gt;"",SUMPRODUCT(--ISNUMBER(FIND({0;1;2;3;4;5;6;7;8;9},I179)))=0),1,0)</f>
        <v>1</v>
      </c>
      <c r="AU179" s="12" cm="1">
        <f t="array" ref="AU179">IF(AND(J179&lt;&gt;"",SUMPRODUCT(--ISNUMBER(FIND({0;1;2;3;4;5;6;7;8;9},J179)))=0),1,0)</f>
        <v>1</v>
      </c>
      <c r="AV179" s="12">
        <f t="shared" si="127"/>
        <v>1</v>
      </c>
      <c r="AW179" s="12">
        <f t="shared" ca="1" si="106"/>
        <v>1</v>
      </c>
      <c r="AX179" s="12">
        <f t="shared" si="107"/>
        <v>1</v>
      </c>
      <c r="AY179" s="12">
        <f t="shared" si="108"/>
        <v>1</v>
      </c>
      <c r="AZ179" s="12">
        <f t="shared" si="109"/>
        <v>1</v>
      </c>
      <c r="BA179" s="12">
        <f t="shared" si="110"/>
        <v>1</v>
      </c>
      <c r="BB179" s="12">
        <f t="shared" si="111"/>
        <v>1</v>
      </c>
      <c r="BC179" s="12">
        <f t="shared" ca="1" si="112"/>
        <v>1</v>
      </c>
      <c r="BD179" s="12">
        <f t="shared" si="113"/>
        <v>1</v>
      </c>
      <c r="BE179" s="12">
        <f t="shared" si="114"/>
        <v>1</v>
      </c>
      <c r="BF179" s="12">
        <f t="shared" si="115"/>
        <v>1</v>
      </c>
      <c r="BG179" s="12">
        <f t="shared" ca="1" si="116"/>
        <v>1</v>
      </c>
    </row>
    <row r="180" spans="1:59" ht="15.75" customHeight="1" x14ac:dyDescent="0.2">
      <c r="A180" s="19">
        <f t="shared" si="90"/>
        <v>1</v>
      </c>
      <c r="B180" s="20">
        <f t="shared" si="91"/>
        <v>1</v>
      </c>
      <c r="C180" s="20">
        <f t="shared" ca="1" si="92"/>
        <v>1</v>
      </c>
      <c r="D180" s="50">
        <f t="shared" ca="1" si="117"/>
        <v>0</v>
      </c>
      <c r="E180" s="11" t="s">
        <v>734</v>
      </c>
      <c r="F180" s="11" t="s">
        <v>160</v>
      </c>
      <c r="G180" s="11">
        <v>1000000179</v>
      </c>
      <c r="H180" s="11" t="s">
        <v>182</v>
      </c>
      <c r="I180" s="11" t="s">
        <v>235</v>
      </c>
      <c r="J180" s="11" t="s">
        <v>195</v>
      </c>
      <c r="K180" s="11" t="s">
        <v>185</v>
      </c>
      <c r="L180" s="70">
        <v>32535</v>
      </c>
      <c r="M180" s="11" t="s">
        <v>735</v>
      </c>
      <c r="N180" s="11">
        <v>3386859325</v>
      </c>
      <c r="O180" s="11" t="s">
        <v>736</v>
      </c>
      <c r="P180" s="11" t="s">
        <v>172</v>
      </c>
      <c r="Q180" s="11" t="s">
        <v>173</v>
      </c>
      <c r="R180" s="68">
        <v>45067</v>
      </c>
      <c r="S180" s="11" t="s">
        <v>174</v>
      </c>
      <c r="T180" s="11" t="s">
        <v>147</v>
      </c>
      <c r="U180" s="11">
        <v>85000</v>
      </c>
      <c r="V180" s="68">
        <v>45161</v>
      </c>
      <c r="W180" s="12">
        <f t="shared" si="93"/>
        <v>1</v>
      </c>
      <c r="X180" s="12">
        <f t="shared" si="94"/>
        <v>1</v>
      </c>
      <c r="Y180" s="12">
        <f t="shared" si="95"/>
        <v>1</v>
      </c>
      <c r="Z180" s="12">
        <f t="shared" si="96"/>
        <v>1</v>
      </c>
      <c r="AA180" s="12">
        <f t="shared" si="97"/>
        <v>1</v>
      </c>
      <c r="AB180" s="12">
        <f t="shared" si="98"/>
        <v>1</v>
      </c>
      <c r="AC180" s="12">
        <f t="shared" si="99"/>
        <v>1</v>
      </c>
      <c r="AD180" s="12">
        <f t="shared" si="118"/>
        <v>1</v>
      </c>
      <c r="AE180" s="12">
        <f t="shared" si="119"/>
        <v>1</v>
      </c>
      <c r="AF180" s="12">
        <f t="shared" si="120"/>
        <v>1</v>
      </c>
      <c r="AG180" s="12">
        <f t="shared" si="121"/>
        <v>1</v>
      </c>
      <c r="AH180" s="12">
        <f t="shared" si="122"/>
        <v>1</v>
      </c>
      <c r="AI180" s="12">
        <f t="shared" si="123"/>
        <v>1</v>
      </c>
      <c r="AJ180" s="12">
        <f t="shared" si="124"/>
        <v>1</v>
      </c>
      <c r="AK180" s="12">
        <f t="shared" si="125"/>
        <v>1</v>
      </c>
      <c r="AL180" s="12">
        <f t="shared" si="126"/>
        <v>1</v>
      </c>
      <c r="AM180" s="12">
        <f t="shared" si="100"/>
        <v>1</v>
      </c>
      <c r="AN180" s="12">
        <f t="shared" si="101"/>
        <v>1</v>
      </c>
      <c r="AO180" s="12">
        <f t="shared" si="102"/>
        <v>1</v>
      </c>
      <c r="AP180" s="12">
        <f t="shared" si="103"/>
        <v>1</v>
      </c>
      <c r="AQ180" s="12">
        <f t="shared" si="104"/>
        <v>1</v>
      </c>
      <c r="AR180" s="12">
        <f t="shared" si="105"/>
        <v>1</v>
      </c>
      <c r="AS180" s="12" cm="1">
        <f t="array" ref="AS180">IF(AND(H180&lt;&gt;"",SUMPRODUCT(--ISNUMBER(FIND({0;1;2;3;4;5;6;7;8;9},H180)))=0),1,0)</f>
        <v>1</v>
      </c>
      <c r="AT180" s="12" cm="1">
        <f t="array" ref="AT180">IF(AND(I180&lt;&gt;"",SUMPRODUCT(--ISNUMBER(FIND({0;1;2;3;4;5;6;7;8;9},I180)))=0),1,0)</f>
        <v>1</v>
      </c>
      <c r="AU180" s="12" cm="1">
        <f t="array" ref="AU180">IF(AND(J180&lt;&gt;"",SUMPRODUCT(--ISNUMBER(FIND({0;1;2;3;4;5;6;7;8;9},J180)))=0),1,0)</f>
        <v>1</v>
      </c>
      <c r="AV180" s="12">
        <f t="shared" si="127"/>
        <v>1</v>
      </c>
      <c r="AW180" s="12">
        <f t="shared" ca="1" si="106"/>
        <v>1</v>
      </c>
      <c r="AX180" s="12">
        <f t="shared" si="107"/>
        <v>1</v>
      </c>
      <c r="AY180" s="12">
        <f t="shared" si="108"/>
        <v>1</v>
      </c>
      <c r="AZ180" s="12">
        <f t="shared" si="109"/>
        <v>1</v>
      </c>
      <c r="BA180" s="12">
        <f t="shared" si="110"/>
        <v>1</v>
      </c>
      <c r="BB180" s="12">
        <f t="shared" si="111"/>
        <v>1</v>
      </c>
      <c r="BC180" s="12">
        <f t="shared" ca="1" si="112"/>
        <v>1</v>
      </c>
      <c r="BD180" s="12">
        <f t="shared" si="113"/>
        <v>1</v>
      </c>
      <c r="BE180" s="12">
        <f t="shared" si="114"/>
        <v>1</v>
      </c>
      <c r="BF180" s="12">
        <f t="shared" si="115"/>
        <v>1</v>
      </c>
      <c r="BG180" s="12">
        <f t="shared" ca="1" si="116"/>
        <v>1</v>
      </c>
    </row>
    <row r="181" spans="1:59" ht="15.75" customHeight="1" x14ac:dyDescent="0.2">
      <c r="A181" s="19">
        <f t="shared" si="90"/>
        <v>1</v>
      </c>
      <c r="B181" s="20">
        <f t="shared" si="91"/>
        <v>1</v>
      </c>
      <c r="C181" s="20">
        <f t="shared" ca="1" si="92"/>
        <v>1</v>
      </c>
      <c r="D181" s="50">
        <f t="shared" ca="1" si="117"/>
        <v>0</v>
      </c>
      <c r="E181" s="11" t="s">
        <v>737</v>
      </c>
      <c r="F181" s="11" t="s">
        <v>137</v>
      </c>
      <c r="G181" s="11">
        <v>1000000180</v>
      </c>
      <c r="H181" s="11" t="s">
        <v>176</v>
      </c>
      <c r="I181" s="11" t="s">
        <v>162</v>
      </c>
      <c r="J181" s="11" t="s">
        <v>169</v>
      </c>
      <c r="K181" s="11" t="s">
        <v>141</v>
      </c>
      <c r="L181" s="70">
        <v>34099</v>
      </c>
      <c r="M181" s="11" t="s">
        <v>738</v>
      </c>
      <c r="N181" s="11">
        <v>3283416320</v>
      </c>
      <c r="O181" s="11" t="s">
        <v>739</v>
      </c>
      <c r="P181" s="11" t="s">
        <v>224</v>
      </c>
      <c r="Q181" s="11" t="s">
        <v>225</v>
      </c>
      <c r="R181" s="68">
        <v>44780</v>
      </c>
      <c r="S181" s="11" t="s">
        <v>157</v>
      </c>
      <c r="T181" s="11" t="s">
        <v>158</v>
      </c>
      <c r="U181" s="11">
        <v>95000</v>
      </c>
      <c r="V181" s="68">
        <v>44864</v>
      </c>
      <c r="W181" s="12">
        <f t="shared" si="93"/>
        <v>1</v>
      </c>
      <c r="X181" s="12">
        <f t="shared" si="94"/>
        <v>1</v>
      </c>
      <c r="Y181" s="12">
        <f t="shared" si="95"/>
        <v>1</v>
      </c>
      <c r="Z181" s="12">
        <f t="shared" si="96"/>
        <v>1</v>
      </c>
      <c r="AA181" s="12">
        <f t="shared" si="97"/>
        <v>1</v>
      </c>
      <c r="AB181" s="12">
        <f t="shared" si="98"/>
        <v>1</v>
      </c>
      <c r="AC181" s="12">
        <f t="shared" si="99"/>
        <v>1</v>
      </c>
      <c r="AD181" s="12">
        <f t="shared" si="118"/>
        <v>1</v>
      </c>
      <c r="AE181" s="12">
        <f t="shared" si="119"/>
        <v>1</v>
      </c>
      <c r="AF181" s="12">
        <f t="shared" si="120"/>
        <v>1</v>
      </c>
      <c r="AG181" s="12">
        <f t="shared" si="121"/>
        <v>1</v>
      </c>
      <c r="AH181" s="12">
        <f t="shared" si="122"/>
        <v>1</v>
      </c>
      <c r="AI181" s="12">
        <f t="shared" si="123"/>
        <v>1</v>
      </c>
      <c r="AJ181" s="12">
        <f t="shared" si="124"/>
        <v>1</v>
      </c>
      <c r="AK181" s="12">
        <f t="shared" si="125"/>
        <v>1</v>
      </c>
      <c r="AL181" s="12">
        <f t="shared" si="126"/>
        <v>1</v>
      </c>
      <c r="AM181" s="12">
        <f t="shared" si="100"/>
        <v>1</v>
      </c>
      <c r="AN181" s="12">
        <f t="shared" si="101"/>
        <v>1</v>
      </c>
      <c r="AO181" s="12">
        <f t="shared" si="102"/>
        <v>1</v>
      </c>
      <c r="AP181" s="12">
        <f t="shared" si="103"/>
        <v>1</v>
      </c>
      <c r="AQ181" s="12">
        <f t="shared" si="104"/>
        <v>1</v>
      </c>
      <c r="AR181" s="12">
        <f t="shared" si="105"/>
        <v>1</v>
      </c>
      <c r="AS181" s="12" cm="1">
        <f t="array" ref="AS181">IF(AND(H181&lt;&gt;"",SUMPRODUCT(--ISNUMBER(FIND({0;1;2;3;4;5;6;7;8;9},H181)))=0),1,0)</f>
        <v>1</v>
      </c>
      <c r="AT181" s="12" cm="1">
        <f t="array" ref="AT181">IF(AND(I181&lt;&gt;"",SUMPRODUCT(--ISNUMBER(FIND({0;1;2;3;4;5;6;7;8;9},I181)))=0),1,0)</f>
        <v>1</v>
      </c>
      <c r="AU181" s="12" cm="1">
        <f t="array" ref="AU181">IF(AND(J181&lt;&gt;"",SUMPRODUCT(--ISNUMBER(FIND({0;1;2;3;4;5;6;7;8;9},J181)))=0),1,0)</f>
        <v>1</v>
      </c>
      <c r="AV181" s="12">
        <f t="shared" si="127"/>
        <v>1</v>
      </c>
      <c r="AW181" s="12">
        <f t="shared" ca="1" si="106"/>
        <v>1</v>
      </c>
      <c r="AX181" s="12">
        <f t="shared" si="107"/>
        <v>1</v>
      </c>
      <c r="AY181" s="12">
        <f t="shared" si="108"/>
        <v>1</v>
      </c>
      <c r="AZ181" s="12">
        <f t="shared" si="109"/>
        <v>1</v>
      </c>
      <c r="BA181" s="12">
        <f t="shared" si="110"/>
        <v>1</v>
      </c>
      <c r="BB181" s="12">
        <f t="shared" si="111"/>
        <v>1</v>
      </c>
      <c r="BC181" s="12">
        <f t="shared" ca="1" si="112"/>
        <v>1</v>
      </c>
      <c r="BD181" s="12">
        <f t="shared" si="113"/>
        <v>1</v>
      </c>
      <c r="BE181" s="12">
        <f t="shared" si="114"/>
        <v>1</v>
      </c>
      <c r="BF181" s="12">
        <f t="shared" si="115"/>
        <v>1</v>
      </c>
      <c r="BG181" s="12">
        <f t="shared" ca="1" si="116"/>
        <v>1</v>
      </c>
    </row>
    <row r="182" spans="1:59" ht="15.75" customHeight="1" x14ac:dyDescent="0.2">
      <c r="A182" s="19">
        <f t="shared" si="90"/>
        <v>1</v>
      </c>
      <c r="B182" s="20">
        <f t="shared" si="91"/>
        <v>1</v>
      </c>
      <c r="C182" s="20">
        <f t="shared" ca="1" si="92"/>
        <v>1</v>
      </c>
      <c r="D182" s="50">
        <f t="shared" ca="1" si="117"/>
        <v>0</v>
      </c>
      <c r="E182" s="11" t="s">
        <v>740</v>
      </c>
      <c r="F182" s="11" t="s">
        <v>149</v>
      </c>
      <c r="G182" s="11">
        <v>1000000181</v>
      </c>
      <c r="H182" s="11" t="s">
        <v>161</v>
      </c>
      <c r="I182" s="11" t="s">
        <v>169</v>
      </c>
      <c r="J182" s="11" t="s">
        <v>200</v>
      </c>
      <c r="K182" s="11" t="s">
        <v>141</v>
      </c>
      <c r="L182" s="70">
        <v>29966</v>
      </c>
      <c r="M182" s="11" t="s">
        <v>741</v>
      </c>
      <c r="N182" s="11">
        <v>3706001094</v>
      </c>
      <c r="O182" s="11" t="s">
        <v>742</v>
      </c>
      <c r="P182" s="11" t="s">
        <v>172</v>
      </c>
      <c r="Q182" s="11" t="s">
        <v>173</v>
      </c>
      <c r="R182" s="68">
        <v>44562</v>
      </c>
      <c r="S182" s="11" t="s">
        <v>174</v>
      </c>
      <c r="T182" s="11" t="s">
        <v>158</v>
      </c>
      <c r="U182" s="11">
        <v>90000</v>
      </c>
      <c r="V182" s="68">
        <v>44737</v>
      </c>
      <c r="W182" s="12">
        <f t="shared" si="93"/>
        <v>1</v>
      </c>
      <c r="X182" s="12">
        <f t="shared" si="94"/>
        <v>1</v>
      </c>
      <c r="Y182" s="12">
        <f t="shared" si="95"/>
        <v>1</v>
      </c>
      <c r="Z182" s="12">
        <f t="shared" si="96"/>
        <v>1</v>
      </c>
      <c r="AA182" s="12">
        <f t="shared" si="97"/>
        <v>1</v>
      </c>
      <c r="AB182" s="12">
        <f t="shared" si="98"/>
        <v>1</v>
      </c>
      <c r="AC182" s="12">
        <f t="shared" si="99"/>
        <v>1</v>
      </c>
      <c r="AD182" s="12">
        <f t="shared" si="118"/>
        <v>1</v>
      </c>
      <c r="AE182" s="12">
        <f t="shared" si="119"/>
        <v>1</v>
      </c>
      <c r="AF182" s="12">
        <f t="shared" si="120"/>
        <v>1</v>
      </c>
      <c r="AG182" s="12">
        <f t="shared" si="121"/>
        <v>1</v>
      </c>
      <c r="AH182" s="12">
        <f t="shared" si="122"/>
        <v>1</v>
      </c>
      <c r="AI182" s="12">
        <f t="shared" si="123"/>
        <v>1</v>
      </c>
      <c r="AJ182" s="12">
        <f t="shared" si="124"/>
        <v>1</v>
      </c>
      <c r="AK182" s="12">
        <f t="shared" si="125"/>
        <v>1</v>
      </c>
      <c r="AL182" s="12">
        <f t="shared" si="126"/>
        <v>1</v>
      </c>
      <c r="AM182" s="12">
        <f t="shared" si="100"/>
        <v>1</v>
      </c>
      <c r="AN182" s="12">
        <f t="shared" si="101"/>
        <v>1</v>
      </c>
      <c r="AO182" s="12">
        <f t="shared" si="102"/>
        <v>1</v>
      </c>
      <c r="AP182" s="12">
        <f t="shared" si="103"/>
        <v>1</v>
      </c>
      <c r="AQ182" s="12">
        <f t="shared" si="104"/>
        <v>1</v>
      </c>
      <c r="AR182" s="12">
        <f t="shared" si="105"/>
        <v>1</v>
      </c>
      <c r="AS182" s="12" cm="1">
        <f t="array" ref="AS182">IF(AND(H182&lt;&gt;"",SUMPRODUCT(--ISNUMBER(FIND({0;1;2;3;4;5;6;7;8;9},H182)))=0),1,0)</f>
        <v>1</v>
      </c>
      <c r="AT182" s="12" cm="1">
        <f t="array" ref="AT182">IF(AND(I182&lt;&gt;"",SUMPRODUCT(--ISNUMBER(FIND({0;1;2;3;4;5;6;7;8;9},I182)))=0),1,0)</f>
        <v>1</v>
      </c>
      <c r="AU182" s="12" cm="1">
        <f t="array" ref="AU182">IF(AND(J182&lt;&gt;"",SUMPRODUCT(--ISNUMBER(FIND({0;1;2;3;4;5;6;7;8;9},J182)))=0),1,0)</f>
        <v>1</v>
      </c>
      <c r="AV182" s="12">
        <f t="shared" si="127"/>
        <v>1</v>
      </c>
      <c r="AW182" s="12">
        <f t="shared" ca="1" si="106"/>
        <v>1</v>
      </c>
      <c r="AX182" s="12">
        <f t="shared" si="107"/>
        <v>1</v>
      </c>
      <c r="AY182" s="12">
        <f t="shared" si="108"/>
        <v>1</v>
      </c>
      <c r="AZ182" s="12">
        <f t="shared" si="109"/>
        <v>1</v>
      </c>
      <c r="BA182" s="12">
        <f t="shared" si="110"/>
        <v>1</v>
      </c>
      <c r="BB182" s="12">
        <f t="shared" si="111"/>
        <v>1</v>
      </c>
      <c r="BC182" s="12">
        <f t="shared" ca="1" si="112"/>
        <v>1</v>
      </c>
      <c r="BD182" s="12">
        <f t="shared" si="113"/>
        <v>1</v>
      </c>
      <c r="BE182" s="12">
        <f t="shared" si="114"/>
        <v>1</v>
      </c>
      <c r="BF182" s="12">
        <f t="shared" si="115"/>
        <v>1</v>
      </c>
      <c r="BG182" s="12">
        <f t="shared" ca="1" si="116"/>
        <v>1</v>
      </c>
    </row>
    <row r="183" spans="1:59" ht="15.75" customHeight="1" x14ac:dyDescent="0.2">
      <c r="A183" s="19">
        <f t="shared" si="90"/>
        <v>1</v>
      </c>
      <c r="B183" s="20">
        <f t="shared" si="91"/>
        <v>1</v>
      </c>
      <c r="C183" s="20">
        <f t="shared" ca="1" si="92"/>
        <v>1</v>
      </c>
      <c r="D183" s="50">
        <f t="shared" ca="1" si="117"/>
        <v>0</v>
      </c>
      <c r="E183" s="11" t="s">
        <v>743</v>
      </c>
      <c r="F183" s="11" t="s">
        <v>137</v>
      </c>
      <c r="G183" s="11">
        <v>1000000182</v>
      </c>
      <c r="H183" s="11" t="s">
        <v>199</v>
      </c>
      <c r="I183" s="11" t="s">
        <v>183</v>
      </c>
      <c r="J183" s="11" t="s">
        <v>235</v>
      </c>
      <c r="K183" s="11" t="s">
        <v>185</v>
      </c>
      <c r="L183" s="70">
        <v>37925</v>
      </c>
      <c r="M183" s="11" t="s">
        <v>744</v>
      </c>
      <c r="N183" s="11">
        <v>3580031464</v>
      </c>
      <c r="O183" s="11" t="s">
        <v>745</v>
      </c>
      <c r="P183" s="11" t="s">
        <v>155</v>
      </c>
      <c r="Q183" s="11" t="s">
        <v>156</v>
      </c>
      <c r="R183" s="68">
        <v>45144</v>
      </c>
      <c r="S183" s="11" t="s">
        <v>174</v>
      </c>
      <c r="T183" s="11" t="s">
        <v>166</v>
      </c>
      <c r="U183" s="11">
        <v>95000</v>
      </c>
      <c r="V183" s="68">
        <v>45308</v>
      </c>
      <c r="W183" s="12">
        <f t="shared" si="93"/>
        <v>1</v>
      </c>
      <c r="X183" s="12">
        <f t="shared" si="94"/>
        <v>1</v>
      </c>
      <c r="Y183" s="12">
        <f t="shared" si="95"/>
        <v>1</v>
      </c>
      <c r="Z183" s="12">
        <f t="shared" si="96"/>
        <v>1</v>
      </c>
      <c r="AA183" s="12">
        <f t="shared" si="97"/>
        <v>1</v>
      </c>
      <c r="AB183" s="12">
        <f t="shared" si="98"/>
        <v>1</v>
      </c>
      <c r="AC183" s="12">
        <f t="shared" si="99"/>
        <v>1</v>
      </c>
      <c r="AD183" s="12">
        <f t="shared" si="118"/>
        <v>1</v>
      </c>
      <c r="AE183" s="12">
        <f t="shared" si="119"/>
        <v>1</v>
      </c>
      <c r="AF183" s="12">
        <f t="shared" si="120"/>
        <v>1</v>
      </c>
      <c r="AG183" s="12">
        <f t="shared" si="121"/>
        <v>1</v>
      </c>
      <c r="AH183" s="12">
        <f t="shared" si="122"/>
        <v>1</v>
      </c>
      <c r="AI183" s="12">
        <f t="shared" si="123"/>
        <v>1</v>
      </c>
      <c r="AJ183" s="12">
        <f t="shared" si="124"/>
        <v>1</v>
      </c>
      <c r="AK183" s="12">
        <f t="shared" si="125"/>
        <v>1</v>
      </c>
      <c r="AL183" s="12">
        <f t="shared" si="126"/>
        <v>1</v>
      </c>
      <c r="AM183" s="12">
        <f t="shared" si="100"/>
        <v>1</v>
      </c>
      <c r="AN183" s="12">
        <f t="shared" si="101"/>
        <v>1</v>
      </c>
      <c r="AO183" s="12">
        <f t="shared" si="102"/>
        <v>1</v>
      </c>
      <c r="AP183" s="12">
        <f t="shared" si="103"/>
        <v>1</v>
      </c>
      <c r="AQ183" s="12">
        <f t="shared" si="104"/>
        <v>1</v>
      </c>
      <c r="AR183" s="12">
        <f t="shared" si="105"/>
        <v>1</v>
      </c>
      <c r="AS183" s="12" cm="1">
        <f t="array" ref="AS183">IF(AND(H183&lt;&gt;"",SUMPRODUCT(--ISNUMBER(FIND({0;1;2;3;4;5;6;7;8;9},H183)))=0),1,0)</f>
        <v>1</v>
      </c>
      <c r="AT183" s="12" cm="1">
        <f t="array" ref="AT183">IF(AND(I183&lt;&gt;"",SUMPRODUCT(--ISNUMBER(FIND({0;1;2;3;4;5;6;7;8;9},I183)))=0),1,0)</f>
        <v>1</v>
      </c>
      <c r="AU183" s="12" cm="1">
        <f t="array" ref="AU183">IF(AND(J183&lt;&gt;"",SUMPRODUCT(--ISNUMBER(FIND({0;1;2;3;4;5;6;7;8;9},J183)))=0),1,0)</f>
        <v>1</v>
      </c>
      <c r="AV183" s="12">
        <f t="shared" si="127"/>
        <v>1</v>
      </c>
      <c r="AW183" s="12">
        <f t="shared" ca="1" si="106"/>
        <v>1</v>
      </c>
      <c r="AX183" s="12">
        <f t="shared" si="107"/>
        <v>1</v>
      </c>
      <c r="AY183" s="12">
        <f t="shared" si="108"/>
        <v>1</v>
      </c>
      <c r="AZ183" s="12">
        <f t="shared" si="109"/>
        <v>1</v>
      </c>
      <c r="BA183" s="12">
        <f t="shared" si="110"/>
        <v>1</v>
      </c>
      <c r="BB183" s="12">
        <f t="shared" si="111"/>
        <v>1</v>
      </c>
      <c r="BC183" s="12">
        <f t="shared" ca="1" si="112"/>
        <v>1</v>
      </c>
      <c r="BD183" s="12">
        <f t="shared" si="113"/>
        <v>1</v>
      </c>
      <c r="BE183" s="12">
        <f t="shared" si="114"/>
        <v>1</v>
      </c>
      <c r="BF183" s="12">
        <f t="shared" si="115"/>
        <v>1</v>
      </c>
      <c r="BG183" s="12">
        <f t="shared" ca="1" si="116"/>
        <v>1</v>
      </c>
    </row>
    <row r="184" spans="1:59" ht="15.75" customHeight="1" x14ac:dyDescent="0.2">
      <c r="A184" s="19">
        <f t="shared" si="90"/>
        <v>1</v>
      </c>
      <c r="B184" s="20">
        <f t="shared" si="91"/>
        <v>1</v>
      </c>
      <c r="C184" s="20">
        <f t="shared" ca="1" si="92"/>
        <v>1</v>
      </c>
      <c r="D184" s="50">
        <f t="shared" ca="1" si="117"/>
        <v>0</v>
      </c>
      <c r="E184" s="11" t="s">
        <v>746</v>
      </c>
      <c r="F184" s="11" t="s">
        <v>149</v>
      </c>
      <c r="G184" s="11">
        <v>1000000183</v>
      </c>
      <c r="H184" s="11" t="s">
        <v>274</v>
      </c>
      <c r="I184" s="11" t="s">
        <v>140</v>
      </c>
      <c r="J184" s="11" t="s">
        <v>267</v>
      </c>
      <c r="K184" s="11" t="s">
        <v>141</v>
      </c>
      <c r="L184" s="70">
        <v>32014</v>
      </c>
      <c r="M184" s="11" t="s">
        <v>747</v>
      </c>
      <c r="N184" s="11">
        <v>3375811841</v>
      </c>
      <c r="O184" s="11" t="s">
        <v>748</v>
      </c>
      <c r="P184" s="11" t="s">
        <v>165</v>
      </c>
      <c r="Q184" s="11" t="s">
        <v>156</v>
      </c>
      <c r="R184" s="68">
        <v>44937</v>
      </c>
      <c r="S184" s="11" t="s">
        <v>174</v>
      </c>
      <c r="T184" s="11" t="s">
        <v>166</v>
      </c>
      <c r="U184" s="11">
        <v>90000</v>
      </c>
      <c r="V184" s="68">
        <v>45147</v>
      </c>
      <c r="W184" s="12">
        <f t="shared" si="93"/>
        <v>1</v>
      </c>
      <c r="X184" s="12">
        <f t="shared" si="94"/>
        <v>1</v>
      </c>
      <c r="Y184" s="12">
        <f t="shared" si="95"/>
        <v>1</v>
      </c>
      <c r="Z184" s="12">
        <f t="shared" si="96"/>
        <v>1</v>
      </c>
      <c r="AA184" s="12">
        <f t="shared" si="97"/>
        <v>1</v>
      </c>
      <c r="AB184" s="12">
        <f t="shared" si="98"/>
        <v>1</v>
      </c>
      <c r="AC184" s="12">
        <f t="shared" si="99"/>
        <v>1</v>
      </c>
      <c r="AD184" s="12">
        <f t="shared" si="118"/>
        <v>1</v>
      </c>
      <c r="AE184" s="12">
        <f t="shared" si="119"/>
        <v>1</v>
      </c>
      <c r="AF184" s="12">
        <f t="shared" si="120"/>
        <v>1</v>
      </c>
      <c r="AG184" s="12">
        <f t="shared" si="121"/>
        <v>1</v>
      </c>
      <c r="AH184" s="12">
        <f t="shared" si="122"/>
        <v>1</v>
      </c>
      <c r="AI184" s="12">
        <f t="shared" si="123"/>
        <v>1</v>
      </c>
      <c r="AJ184" s="12">
        <f t="shared" si="124"/>
        <v>1</v>
      </c>
      <c r="AK184" s="12">
        <f t="shared" si="125"/>
        <v>1</v>
      </c>
      <c r="AL184" s="12">
        <f t="shared" si="126"/>
        <v>1</v>
      </c>
      <c r="AM184" s="12">
        <f t="shared" si="100"/>
        <v>1</v>
      </c>
      <c r="AN184" s="12">
        <f t="shared" si="101"/>
        <v>1</v>
      </c>
      <c r="AO184" s="12">
        <f t="shared" si="102"/>
        <v>1</v>
      </c>
      <c r="AP184" s="12">
        <f t="shared" si="103"/>
        <v>1</v>
      </c>
      <c r="AQ184" s="12">
        <f t="shared" si="104"/>
        <v>1</v>
      </c>
      <c r="AR184" s="12">
        <f t="shared" si="105"/>
        <v>1</v>
      </c>
      <c r="AS184" s="12" cm="1">
        <f t="array" ref="AS184">IF(AND(H184&lt;&gt;"",SUMPRODUCT(--ISNUMBER(FIND({0;1;2;3;4;5;6;7;8;9},H184)))=0),1,0)</f>
        <v>1</v>
      </c>
      <c r="AT184" s="12" cm="1">
        <f t="array" ref="AT184">IF(AND(I184&lt;&gt;"",SUMPRODUCT(--ISNUMBER(FIND({0;1;2;3;4;5;6;7;8;9},I184)))=0),1,0)</f>
        <v>1</v>
      </c>
      <c r="AU184" s="12" cm="1">
        <f t="array" ref="AU184">IF(AND(J184&lt;&gt;"",SUMPRODUCT(--ISNUMBER(FIND({0;1;2;3;4;5;6;7;8;9},J184)))=0),1,0)</f>
        <v>1</v>
      </c>
      <c r="AV184" s="12">
        <f t="shared" si="127"/>
        <v>1</v>
      </c>
      <c r="AW184" s="12">
        <f t="shared" ca="1" si="106"/>
        <v>1</v>
      </c>
      <c r="AX184" s="12">
        <f t="shared" si="107"/>
        <v>1</v>
      </c>
      <c r="AY184" s="12">
        <f t="shared" si="108"/>
        <v>1</v>
      </c>
      <c r="AZ184" s="12">
        <f t="shared" si="109"/>
        <v>1</v>
      </c>
      <c r="BA184" s="12">
        <f t="shared" si="110"/>
        <v>1</v>
      </c>
      <c r="BB184" s="12">
        <f t="shared" si="111"/>
        <v>1</v>
      </c>
      <c r="BC184" s="12">
        <f t="shared" ca="1" si="112"/>
        <v>1</v>
      </c>
      <c r="BD184" s="12">
        <f t="shared" si="113"/>
        <v>1</v>
      </c>
      <c r="BE184" s="12">
        <f t="shared" si="114"/>
        <v>1</v>
      </c>
      <c r="BF184" s="12">
        <f t="shared" si="115"/>
        <v>1</v>
      </c>
      <c r="BG184" s="12">
        <f t="shared" ca="1" si="116"/>
        <v>1</v>
      </c>
    </row>
    <row r="185" spans="1:59" ht="15.75" customHeight="1" x14ac:dyDescent="0.2">
      <c r="A185" s="19">
        <f t="shared" si="90"/>
        <v>1</v>
      </c>
      <c r="B185" s="20">
        <f t="shared" si="91"/>
        <v>1</v>
      </c>
      <c r="C185" s="20">
        <f t="shared" ca="1" si="92"/>
        <v>1</v>
      </c>
      <c r="D185" s="50">
        <f t="shared" ca="1" si="117"/>
        <v>0</v>
      </c>
      <c r="E185" s="11" t="s">
        <v>749</v>
      </c>
      <c r="F185" s="11" t="s">
        <v>149</v>
      </c>
      <c r="G185" s="11">
        <v>1000000184</v>
      </c>
      <c r="H185" s="11" t="s">
        <v>150</v>
      </c>
      <c r="I185" s="11" t="s">
        <v>139</v>
      </c>
      <c r="J185" s="11" t="s">
        <v>212</v>
      </c>
      <c r="K185" s="11" t="s">
        <v>141</v>
      </c>
      <c r="L185" s="70">
        <v>36590</v>
      </c>
      <c r="M185" s="11" t="s">
        <v>750</v>
      </c>
      <c r="N185" s="11">
        <v>3262199266</v>
      </c>
      <c r="O185" s="11" t="s">
        <v>751</v>
      </c>
      <c r="P185" s="11" t="s">
        <v>165</v>
      </c>
      <c r="Q185" s="11" t="s">
        <v>156</v>
      </c>
      <c r="R185" s="68">
        <v>44989</v>
      </c>
      <c r="S185" s="11" t="s">
        <v>174</v>
      </c>
      <c r="T185" s="11" t="s">
        <v>166</v>
      </c>
      <c r="U185" s="11">
        <v>95000</v>
      </c>
      <c r="V185" s="68">
        <v>45007</v>
      </c>
      <c r="W185" s="12">
        <f t="shared" si="93"/>
        <v>1</v>
      </c>
      <c r="X185" s="12">
        <f t="shared" si="94"/>
        <v>1</v>
      </c>
      <c r="Y185" s="12">
        <f t="shared" si="95"/>
        <v>1</v>
      </c>
      <c r="Z185" s="12">
        <f t="shared" si="96"/>
        <v>1</v>
      </c>
      <c r="AA185" s="12">
        <f t="shared" si="97"/>
        <v>1</v>
      </c>
      <c r="AB185" s="12">
        <f t="shared" si="98"/>
        <v>1</v>
      </c>
      <c r="AC185" s="12">
        <f t="shared" si="99"/>
        <v>1</v>
      </c>
      <c r="AD185" s="12">
        <f t="shared" si="118"/>
        <v>1</v>
      </c>
      <c r="AE185" s="12">
        <f t="shared" si="119"/>
        <v>1</v>
      </c>
      <c r="AF185" s="12">
        <f t="shared" si="120"/>
        <v>1</v>
      </c>
      <c r="AG185" s="12">
        <f t="shared" si="121"/>
        <v>1</v>
      </c>
      <c r="AH185" s="12">
        <f t="shared" si="122"/>
        <v>1</v>
      </c>
      <c r="AI185" s="12">
        <f t="shared" si="123"/>
        <v>1</v>
      </c>
      <c r="AJ185" s="12">
        <f t="shared" si="124"/>
        <v>1</v>
      </c>
      <c r="AK185" s="12">
        <f t="shared" si="125"/>
        <v>1</v>
      </c>
      <c r="AL185" s="12">
        <f t="shared" si="126"/>
        <v>1</v>
      </c>
      <c r="AM185" s="12">
        <f t="shared" si="100"/>
        <v>1</v>
      </c>
      <c r="AN185" s="12">
        <f t="shared" si="101"/>
        <v>1</v>
      </c>
      <c r="AO185" s="12">
        <f t="shared" si="102"/>
        <v>1</v>
      </c>
      <c r="AP185" s="12">
        <f t="shared" si="103"/>
        <v>1</v>
      </c>
      <c r="AQ185" s="12">
        <f t="shared" si="104"/>
        <v>1</v>
      </c>
      <c r="AR185" s="12">
        <f t="shared" si="105"/>
        <v>1</v>
      </c>
      <c r="AS185" s="12" cm="1">
        <f t="array" ref="AS185">IF(AND(H185&lt;&gt;"",SUMPRODUCT(--ISNUMBER(FIND({0;1;2;3;4;5;6;7;8;9},H185)))=0),1,0)</f>
        <v>1</v>
      </c>
      <c r="AT185" s="12" cm="1">
        <f t="array" ref="AT185">IF(AND(I185&lt;&gt;"",SUMPRODUCT(--ISNUMBER(FIND({0;1;2;3;4;5;6;7;8;9},I185)))=0),1,0)</f>
        <v>1</v>
      </c>
      <c r="AU185" s="12" cm="1">
        <f t="array" ref="AU185">IF(AND(J185&lt;&gt;"",SUMPRODUCT(--ISNUMBER(FIND({0;1;2;3;4;5;6;7;8;9},J185)))=0),1,0)</f>
        <v>1</v>
      </c>
      <c r="AV185" s="12">
        <f t="shared" si="127"/>
        <v>1</v>
      </c>
      <c r="AW185" s="12">
        <f t="shared" ca="1" si="106"/>
        <v>1</v>
      </c>
      <c r="AX185" s="12">
        <f t="shared" si="107"/>
        <v>1</v>
      </c>
      <c r="AY185" s="12">
        <f t="shared" si="108"/>
        <v>1</v>
      </c>
      <c r="AZ185" s="12">
        <f t="shared" si="109"/>
        <v>1</v>
      </c>
      <c r="BA185" s="12">
        <f t="shared" si="110"/>
        <v>1</v>
      </c>
      <c r="BB185" s="12">
        <f t="shared" si="111"/>
        <v>1</v>
      </c>
      <c r="BC185" s="12">
        <f t="shared" ca="1" si="112"/>
        <v>1</v>
      </c>
      <c r="BD185" s="12">
        <f t="shared" si="113"/>
        <v>1</v>
      </c>
      <c r="BE185" s="12">
        <f t="shared" si="114"/>
        <v>1</v>
      </c>
      <c r="BF185" s="12">
        <f t="shared" si="115"/>
        <v>1</v>
      </c>
      <c r="BG185" s="12">
        <f t="shared" ca="1" si="116"/>
        <v>1</v>
      </c>
    </row>
    <row r="186" spans="1:59" ht="15.75" customHeight="1" x14ac:dyDescent="0.2">
      <c r="A186" s="19">
        <f t="shared" si="90"/>
        <v>1</v>
      </c>
      <c r="B186" s="20">
        <f t="shared" si="91"/>
        <v>1</v>
      </c>
      <c r="C186" s="20">
        <f t="shared" ca="1" si="92"/>
        <v>1</v>
      </c>
      <c r="D186" s="50">
        <f t="shared" ca="1" si="117"/>
        <v>0</v>
      </c>
      <c r="E186" s="11" t="s">
        <v>752</v>
      </c>
      <c r="F186" s="11" t="s">
        <v>149</v>
      </c>
      <c r="G186" s="11">
        <v>1000000185</v>
      </c>
      <c r="H186" s="11" t="s">
        <v>281</v>
      </c>
      <c r="I186" s="11" t="s">
        <v>200</v>
      </c>
      <c r="J186" s="11" t="s">
        <v>152</v>
      </c>
      <c r="K186" s="11" t="s">
        <v>185</v>
      </c>
      <c r="L186" s="70">
        <v>31256</v>
      </c>
      <c r="M186" s="11" t="s">
        <v>753</v>
      </c>
      <c r="N186" s="11">
        <v>3858591277</v>
      </c>
      <c r="O186" s="11" t="s">
        <v>754</v>
      </c>
      <c r="P186" s="11" t="s">
        <v>224</v>
      </c>
      <c r="Q186" s="11" t="s">
        <v>225</v>
      </c>
      <c r="R186" s="68">
        <v>45135</v>
      </c>
      <c r="S186" s="11" t="s">
        <v>146</v>
      </c>
      <c r="T186" s="11" t="s">
        <v>158</v>
      </c>
      <c r="U186" s="11">
        <v>90000</v>
      </c>
      <c r="V186" s="68">
        <v>45392</v>
      </c>
      <c r="W186" s="12">
        <f t="shared" si="93"/>
        <v>1</v>
      </c>
      <c r="X186" s="12">
        <f t="shared" si="94"/>
        <v>1</v>
      </c>
      <c r="Y186" s="12">
        <f t="shared" si="95"/>
        <v>1</v>
      </c>
      <c r="Z186" s="12">
        <f t="shared" si="96"/>
        <v>1</v>
      </c>
      <c r="AA186" s="12">
        <f t="shared" si="97"/>
        <v>1</v>
      </c>
      <c r="AB186" s="12">
        <f t="shared" si="98"/>
        <v>1</v>
      </c>
      <c r="AC186" s="12">
        <f t="shared" si="99"/>
        <v>1</v>
      </c>
      <c r="AD186" s="12">
        <f t="shared" si="118"/>
        <v>1</v>
      </c>
      <c r="AE186" s="12">
        <f t="shared" si="119"/>
        <v>1</v>
      </c>
      <c r="AF186" s="12">
        <f t="shared" si="120"/>
        <v>1</v>
      </c>
      <c r="AG186" s="12">
        <f t="shared" si="121"/>
        <v>1</v>
      </c>
      <c r="AH186" s="12">
        <f t="shared" si="122"/>
        <v>1</v>
      </c>
      <c r="AI186" s="12">
        <f t="shared" si="123"/>
        <v>1</v>
      </c>
      <c r="AJ186" s="12">
        <f t="shared" si="124"/>
        <v>1</v>
      </c>
      <c r="AK186" s="12">
        <f t="shared" si="125"/>
        <v>1</v>
      </c>
      <c r="AL186" s="12">
        <f t="shared" si="126"/>
        <v>1</v>
      </c>
      <c r="AM186" s="12">
        <f t="shared" si="100"/>
        <v>1</v>
      </c>
      <c r="AN186" s="12">
        <f t="shared" si="101"/>
        <v>1</v>
      </c>
      <c r="AO186" s="12">
        <f t="shared" si="102"/>
        <v>1</v>
      </c>
      <c r="AP186" s="12">
        <f t="shared" si="103"/>
        <v>1</v>
      </c>
      <c r="AQ186" s="12">
        <f t="shared" si="104"/>
        <v>1</v>
      </c>
      <c r="AR186" s="12">
        <f t="shared" si="105"/>
        <v>1</v>
      </c>
      <c r="AS186" s="12" cm="1">
        <f t="array" ref="AS186">IF(AND(H186&lt;&gt;"",SUMPRODUCT(--ISNUMBER(FIND({0;1;2;3;4;5;6;7;8;9},H186)))=0),1,0)</f>
        <v>1</v>
      </c>
      <c r="AT186" s="12" cm="1">
        <f t="array" ref="AT186">IF(AND(I186&lt;&gt;"",SUMPRODUCT(--ISNUMBER(FIND({0;1;2;3;4;5;6;7;8;9},I186)))=0),1,0)</f>
        <v>1</v>
      </c>
      <c r="AU186" s="12" cm="1">
        <f t="array" ref="AU186">IF(AND(J186&lt;&gt;"",SUMPRODUCT(--ISNUMBER(FIND({0;1;2;3;4;5;6;7;8;9},J186)))=0),1,0)</f>
        <v>1</v>
      </c>
      <c r="AV186" s="12">
        <f t="shared" si="127"/>
        <v>1</v>
      </c>
      <c r="AW186" s="12">
        <f t="shared" ca="1" si="106"/>
        <v>1</v>
      </c>
      <c r="AX186" s="12">
        <f t="shared" si="107"/>
        <v>1</v>
      </c>
      <c r="AY186" s="12">
        <f t="shared" si="108"/>
        <v>1</v>
      </c>
      <c r="AZ186" s="12">
        <f t="shared" si="109"/>
        <v>1</v>
      </c>
      <c r="BA186" s="12">
        <f t="shared" si="110"/>
        <v>1</v>
      </c>
      <c r="BB186" s="12">
        <f t="shared" si="111"/>
        <v>1</v>
      </c>
      <c r="BC186" s="12">
        <f t="shared" ca="1" si="112"/>
        <v>1</v>
      </c>
      <c r="BD186" s="12">
        <f t="shared" si="113"/>
        <v>1</v>
      </c>
      <c r="BE186" s="12">
        <f t="shared" si="114"/>
        <v>1</v>
      </c>
      <c r="BF186" s="12">
        <f t="shared" si="115"/>
        <v>1</v>
      </c>
      <c r="BG186" s="12">
        <f t="shared" ca="1" si="116"/>
        <v>1</v>
      </c>
    </row>
    <row r="187" spans="1:59" ht="15.75" customHeight="1" x14ac:dyDescent="0.2">
      <c r="A187" s="19">
        <f t="shared" si="90"/>
        <v>1</v>
      </c>
      <c r="B187" s="20">
        <f t="shared" si="91"/>
        <v>1</v>
      </c>
      <c r="C187" s="20">
        <f t="shared" ca="1" si="92"/>
        <v>1</v>
      </c>
      <c r="D187" s="50">
        <f t="shared" ca="1" si="117"/>
        <v>0</v>
      </c>
      <c r="E187" s="11" t="s">
        <v>755</v>
      </c>
      <c r="F187" s="11" t="s">
        <v>149</v>
      </c>
      <c r="G187" s="11">
        <v>1000000186</v>
      </c>
      <c r="H187" s="11" t="s">
        <v>294</v>
      </c>
      <c r="I187" s="11" t="s">
        <v>260</v>
      </c>
      <c r="J187" s="11" t="s">
        <v>168</v>
      </c>
      <c r="K187" s="11" t="s">
        <v>185</v>
      </c>
      <c r="L187" s="70">
        <v>31588</v>
      </c>
      <c r="M187" s="11" t="s">
        <v>756</v>
      </c>
      <c r="N187" s="11">
        <v>3863463967</v>
      </c>
      <c r="O187" s="11" t="s">
        <v>757</v>
      </c>
      <c r="P187" s="11" t="s">
        <v>165</v>
      </c>
      <c r="Q187" s="11" t="s">
        <v>156</v>
      </c>
      <c r="R187" s="68">
        <v>44643</v>
      </c>
      <c r="S187" s="11" t="s">
        <v>157</v>
      </c>
      <c r="T187" s="11" t="s">
        <v>158</v>
      </c>
      <c r="U187" s="11">
        <v>95000</v>
      </c>
      <c r="V187" s="68">
        <v>44646</v>
      </c>
      <c r="W187" s="12">
        <f t="shared" si="93"/>
        <v>1</v>
      </c>
      <c r="X187" s="12">
        <f t="shared" si="94"/>
        <v>1</v>
      </c>
      <c r="Y187" s="12">
        <f t="shared" si="95"/>
        <v>1</v>
      </c>
      <c r="Z187" s="12">
        <f t="shared" si="96"/>
        <v>1</v>
      </c>
      <c r="AA187" s="12">
        <f t="shared" si="97"/>
        <v>1</v>
      </c>
      <c r="AB187" s="12">
        <f t="shared" si="98"/>
        <v>1</v>
      </c>
      <c r="AC187" s="12">
        <f t="shared" si="99"/>
        <v>1</v>
      </c>
      <c r="AD187" s="12">
        <f t="shared" si="118"/>
        <v>1</v>
      </c>
      <c r="AE187" s="12">
        <f t="shared" si="119"/>
        <v>1</v>
      </c>
      <c r="AF187" s="12">
        <f t="shared" si="120"/>
        <v>1</v>
      </c>
      <c r="AG187" s="12">
        <f t="shared" si="121"/>
        <v>1</v>
      </c>
      <c r="AH187" s="12">
        <f t="shared" si="122"/>
        <v>1</v>
      </c>
      <c r="AI187" s="12">
        <f t="shared" si="123"/>
        <v>1</v>
      </c>
      <c r="AJ187" s="12">
        <f t="shared" si="124"/>
        <v>1</v>
      </c>
      <c r="AK187" s="12">
        <f t="shared" si="125"/>
        <v>1</v>
      </c>
      <c r="AL187" s="12">
        <f t="shared" si="126"/>
        <v>1</v>
      </c>
      <c r="AM187" s="12">
        <f t="shared" si="100"/>
        <v>1</v>
      </c>
      <c r="AN187" s="12">
        <f t="shared" si="101"/>
        <v>1</v>
      </c>
      <c r="AO187" s="12">
        <f t="shared" si="102"/>
        <v>1</v>
      </c>
      <c r="AP187" s="12">
        <f t="shared" si="103"/>
        <v>1</v>
      </c>
      <c r="AQ187" s="12">
        <f t="shared" si="104"/>
        <v>1</v>
      </c>
      <c r="AR187" s="12">
        <f t="shared" si="105"/>
        <v>1</v>
      </c>
      <c r="AS187" s="12" cm="1">
        <f t="array" ref="AS187">IF(AND(H187&lt;&gt;"",SUMPRODUCT(--ISNUMBER(FIND({0;1;2;3;4;5;6;7;8;9},H187)))=0),1,0)</f>
        <v>1</v>
      </c>
      <c r="AT187" s="12" cm="1">
        <f t="array" ref="AT187">IF(AND(I187&lt;&gt;"",SUMPRODUCT(--ISNUMBER(FIND({0;1;2;3;4;5;6;7;8;9},I187)))=0),1,0)</f>
        <v>1</v>
      </c>
      <c r="AU187" s="12" cm="1">
        <f t="array" ref="AU187">IF(AND(J187&lt;&gt;"",SUMPRODUCT(--ISNUMBER(FIND({0;1;2;3;4;5;6;7;8;9},J187)))=0),1,0)</f>
        <v>1</v>
      </c>
      <c r="AV187" s="12">
        <f t="shared" si="127"/>
        <v>1</v>
      </c>
      <c r="AW187" s="12">
        <f t="shared" ca="1" si="106"/>
        <v>1</v>
      </c>
      <c r="AX187" s="12">
        <f t="shared" si="107"/>
        <v>1</v>
      </c>
      <c r="AY187" s="12">
        <f t="shared" si="108"/>
        <v>1</v>
      </c>
      <c r="AZ187" s="12">
        <f t="shared" si="109"/>
        <v>1</v>
      </c>
      <c r="BA187" s="12">
        <f t="shared" si="110"/>
        <v>1</v>
      </c>
      <c r="BB187" s="12">
        <f t="shared" si="111"/>
        <v>1</v>
      </c>
      <c r="BC187" s="12">
        <f t="shared" ca="1" si="112"/>
        <v>1</v>
      </c>
      <c r="BD187" s="12">
        <f t="shared" si="113"/>
        <v>1</v>
      </c>
      <c r="BE187" s="12">
        <f t="shared" si="114"/>
        <v>1</v>
      </c>
      <c r="BF187" s="12">
        <f t="shared" si="115"/>
        <v>1</v>
      </c>
      <c r="BG187" s="12">
        <f t="shared" ca="1" si="116"/>
        <v>1</v>
      </c>
    </row>
    <row r="188" spans="1:59" ht="15.75" customHeight="1" x14ac:dyDescent="0.2">
      <c r="A188" s="19">
        <f t="shared" si="90"/>
        <v>1</v>
      </c>
      <c r="B188" s="20">
        <f t="shared" si="91"/>
        <v>1</v>
      </c>
      <c r="C188" s="20">
        <f t="shared" ca="1" si="92"/>
        <v>0</v>
      </c>
      <c r="D188" s="50">
        <f t="shared" ca="1" si="117"/>
        <v>1</v>
      </c>
      <c r="E188" s="11" t="s">
        <v>758</v>
      </c>
      <c r="F188" s="11" t="s">
        <v>149</v>
      </c>
      <c r="G188" s="11">
        <v>1000000187</v>
      </c>
      <c r="H188" s="11" t="s">
        <v>251</v>
      </c>
      <c r="I188" s="11" t="s">
        <v>184</v>
      </c>
      <c r="J188" s="11" t="s">
        <v>260</v>
      </c>
      <c r="K188" s="11" t="s">
        <v>185</v>
      </c>
      <c r="L188" s="70">
        <v>34258</v>
      </c>
      <c r="M188" s="11" t="s">
        <v>759</v>
      </c>
      <c r="N188" s="11">
        <v>3843144096</v>
      </c>
      <c r="O188" s="11" t="s">
        <v>760</v>
      </c>
      <c r="P188" s="11" t="s">
        <v>217</v>
      </c>
      <c r="Q188" s="11" t="s">
        <v>218</v>
      </c>
      <c r="R188" s="68">
        <v>46060</v>
      </c>
      <c r="S188" s="11" t="s">
        <v>174</v>
      </c>
      <c r="T188" s="11" t="s">
        <v>147</v>
      </c>
      <c r="U188" s="11">
        <v>90000</v>
      </c>
      <c r="V188" s="68">
        <v>46199</v>
      </c>
      <c r="W188" s="12">
        <f t="shared" si="93"/>
        <v>1</v>
      </c>
      <c r="X188" s="12">
        <f t="shared" si="94"/>
        <v>1</v>
      </c>
      <c r="Y188" s="12">
        <f t="shared" si="95"/>
        <v>1</v>
      </c>
      <c r="Z188" s="12">
        <f t="shared" si="96"/>
        <v>1</v>
      </c>
      <c r="AA188" s="12">
        <f t="shared" si="97"/>
        <v>1</v>
      </c>
      <c r="AB188" s="12">
        <f t="shared" si="98"/>
        <v>1</v>
      </c>
      <c r="AC188" s="12">
        <f t="shared" si="99"/>
        <v>1</v>
      </c>
      <c r="AD188" s="12">
        <f t="shared" si="118"/>
        <v>1</v>
      </c>
      <c r="AE188" s="12">
        <f t="shared" si="119"/>
        <v>1</v>
      </c>
      <c r="AF188" s="12">
        <f t="shared" si="120"/>
        <v>1</v>
      </c>
      <c r="AG188" s="12">
        <f t="shared" si="121"/>
        <v>1</v>
      </c>
      <c r="AH188" s="12">
        <f t="shared" si="122"/>
        <v>1</v>
      </c>
      <c r="AI188" s="12">
        <f t="shared" si="123"/>
        <v>1</v>
      </c>
      <c r="AJ188" s="12">
        <f t="shared" si="124"/>
        <v>1</v>
      </c>
      <c r="AK188" s="12">
        <f t="shared" si="125"/>
        <v>1</v>
      </c>
      <c r="AL188" s="12">
        <f t="shared" si="126"/>
        <v>1</v>
      </c>
      <c r="AM188" s="12">
        <f t="shared" si="100"/>
        <v>1</v>
      </c>
      <c r="AN188" s="12">
        <f t="shared" si="101"/>
        <v>1</v>
      </c>
      <c r="AO188" s="12">
        <f t="shared" si="102"/>
        <v>1</v>
      </c>
      <c r="AP188" s="12">
        <f t="shared" si="103"/>
        <v>1</v>
      </c>
      <c r="AQ188" s="12">
        <f t="shared" si="104"/>
        <v>1</v>
      </c>
      <c r="AR188" s="12">
        <f t="shared" si="105"/>
        <v>1</v>
      </c>
      <c r="AS188" s="12" cm="1">
        <f t="array" ref="AS188">IF(AND(H188&lt;&gt;"",SUMPRODUCT(--ISNUMBER(FIND({0;1;2;3;4;5;6;7;8;9},H188)))=0),1,0)</f>
        <v>1</v>
      </c>
      <c r="AT188" s="12" cm="1">
        <f t="array" ref="AT188">IF(AND(I188&lt;&gt;"",SUMPRODUCT(--ISNUMBER(FIND({0;1;2;3;4;5;6;7;8;9},I188)))=0),1,0)</f>
        <v>1</v>
      </c>
      <c r="AU188" s="12" cm="1">
        <f t="array" ref="AU188">IF(AND(J188&lt;&gt;"",SUMPRODUCT(--ISNUMBER(FIND({0;1;2;3;4;5;6;7;8;9},J188)))=0),1,0)</f>
        <v>1</v>
      </c>
      <c r="AV188" s="12">
        <f t="shared" si="127"/>
        <v>1</v>
      </c>
      <c r="AW188" s="12">
        <f t="shared" ca="1" si="106"/>
        <v>1</v>
      </c>
      <c r="AX188" s="12">
        <f t="shared" si="107"/>
        <v>1</v>
      </c>
      <c r="AY188" s="12">
        <f t="shared" si="108"/>
        <v>1</v>
      </c>
      <c r="AZ188" s="12">
        <f t="shared" si="109"/>
        <v>1</v>
      </c>
      <c r="BA188" s="12">
        <f t="shared" si="110"/>
        <v>1</v>
      </c>
      <c r="BB188" s="12">
        <f t="shared" si="111"/>
        <v>1</v>
      </c>
      <c r="BC188" s="12">
        <f t="shared" ca="1" si="112"/>
        <v>1</v>
      </c>
      <c r="BD188" s="12">
        <f t="shared" si="113"/>
        <v>1</v>
      </c>
      <c r="BE188" s="12">
        <f t="shared" si="114"/>
        <v>1</v>
      </c>
      <c r="BF188" s="12">
        <f t="shared" si="115"/>
        <v>1</v>
      </c>
      <c r="BG188" s="12">
        <f t="shared" ca="1" si="116"/>
        <v>0</v>
      </c>
    </row>
    <row r="189" spans="1:59" ht="15.75" customHeight="1" x14ac:dyDescent="0.2">
      <c r="A189" s="19">
        <f t="shared" si="90"/>
        <v>1</v>
      </c>
      <c r="B189" s="20">
        <f t="shared" si="91"/>
        <v>1</v>
      </c>
      <c r="C189" s="20">
        <f t="shared" ca="1" si="92"/>
        <v>0</v>
      </c>
      <c r="D189" s="50">
        <f t="shared" ca="1" si="117"/>
        <v>1</v>
      </c>
      <c r="E189" s="11" t="s">
        <v>761</v>
      </c>
      <c r="F189" s="11" t="s">
        <v>149</v>
      </c>
      <c r="G189" s="11">
        <v>1000000188</v>
      </c>
      <c r="H189" s="11" t="s">
        <v>386</v>
      </c>
      <c r="I189" s="11" t="s">
        <v>139</v>
      </c>
      <c r="J189" s="11" t="s">
        <v>260</v>
      </c>
      <c r="K189" s="11" t="s">
        <v>141</v>
      </c>
      <c r="L189" s="70">
        <v>25515</v>
      </c>
      <c r="M189" s="11" t="s">
        <v>762</v>
      </c>
      <c r="N189" s="11">
        <v>3173678377</v>
      </c>
      <c r="O189" s="11" t="s">
        <v>763</v>
      </c>
      <c r="P189" s="11" t="s">
        <v>217</v>
      </c>
      <c r="Q189" s="11" t="s">
        <v>218</v>
      </c>
      <c r="R189" s="68">
        <v>45877</v>
      </c>
      <c r="S189" s="11" t="s">
        <v>146</v>
      </c>
      <c r="T189" s="11" t="s">
        <v>166</v>
      </c>
      <c r="U189" s="11">
        <v>85000</v>
      </c>
      <c r="V189" s="68">
        <v>46236</v>
      </c>
      <c r="W189" s="12">
        <f t="shared" si="93"/>
        <v>1</v>
      </c>
      <c r="X189" s="12">
        <f t="shared" si="94"/>
        <v>1</v>
      </c>
      <c r="Y189" s="12">
        <f t="shared" si="95"/>
        <v>1</v>
      </c>
      <c r="Z189" s="12">
        <f t="shared" si="96"/>
        <v>1</v>
      </c>
      <c r="AA189" s="12">
        <f t="shared" si="97"/>
        <v>1</v>
      </c>
      <c r="AB189" s="12">
        <f t="shared" si="98"/>
        <v>1</v>
      </c>
      <c r="AC189" s="12">
        <f t="shared" si="99"/>
        <v>1</v>
      </c>
      <c r="AD189" s="12">
        <f t="shared" si="118"/>
        <v>1</v>
      </c>
      <c r="AE189" s="12">
        <f t="shared" si="119"/>
        <v>1</v>
      </c>
      <c r="AF189" s="12">
        <f t="shared" si="120"/>
        <v>1</v>
      </c>
      <c r="AG189" s="12">
        <f t="shared" si="121"/>
        <v>1</v>
      </c>
      <c r="AH189" s="12">
        <f t="shared" si="122"/>
        <v>1</v>
      </c>
      <c r="AI189" s="12">
        <f t="shared" si="123"/>
        <v>1</v>
      </c>
      <c r="AJ189" s="12">
        <f t="shared" si="124"/>
        <v>1</v>
      </c>
      <c r="AK189" s="12">
        <f t="shared" si="125"/>
        <v>1</v>
      </c>
      <c r="AL189" s="12">
        <f t="shared" si="126"/>
        <v>1</v>
      </c>
      <c r="AM189" s="12">
        <f t="shared" si="100"/>
        <v>1</v>
      </c>
      <c r="AN189" s="12">
        <f t="shared" si="101"/>
        <v>1</v>
      </c>
      <c r="AO189" s="12">
        <f t="shared" si="102"/>
        <v>1</v>
      </c>
      <c r="AP189" s="12">
        <f t="shared" si="103"/>
        <v>1</v>
      </c>
      <c r="AQ189" s="12">
        <f t="shared" si="104"/>
        <v>1</v>
      </c>
      <c r="AR189" s="12">
        <f t="shared" si="105"/>
        <v>1</v>
      </c>
      <c r="AS189" s="12" cm="1">
        <f t="array" ref="AS189">IF(AND(H189&lt;&gt;"",SUMPRODUCT(--ISNUMBER(FIND({0;1;2;3;4;5;6;7;8;9},H189)))=0),1,0)</f>
        <v>1</v>
      </c>
      <c r="AT189" s="12" cm="1">
        <f t="array" ref="AT189">IF(AND(I189&lt;&gt;"",SUMPRODUCT(--ISNUMBER(FIND({0;1;2;3;4;5;6;7;8;9},I189)))=0),1,0)</f>
        <v>1</v>
      </c>
      <c r="AU189" s="12" cm="1">
        <f t="array" ref="AU189">IF(AND(J189&lt;&gt;"",SUMPRODUCT(--ISNUMBER(FIND({0;1;2;3;4;5;6;7;8;9},J189)))=0),1,0)</f>
        <v>1</v>
      </c>
      <c r="AV189" s="12">
        <f t="shared" si="127"/>
        <v>1</v>
      </c>
      <c r="AW189" s="12">
        <f t="shared" ca="1" si="106"/>
        <v>1</v>
      </c>
      <c r="AX189" s="12">
        <f t="shared" si="107"/>
        <v>1</v>
      </c>
      <c r="AY189" s="12">
        <f t="shared" si="108"/>
        <v>1</v>
      </c>
      <c r="AZ189" s="12">
        <f t="shared" si="109"/>
        <v>1</v>
      </c>
      <c r="BA189" s="12">
        <f t="shared" si="110"/>
        <v>1</v>
      </c>
      <c r="BB189" s="12">
        <f t="shared" si="111"/>
        <v>1</v>
      </c>
      <c r="BC189" s="12">
        <f t="shared" ca="1" si="112"/>
        <v>1</v>
      </c>
      <c r="BD189" s="12">
        <f t="shared" si="113"/>
        <v>1</v>
      </c>
      <c r="BE189" s="12">
        <f t="shared" si="114"/>
        <v>1</v>
      </c>
      <c r="BF189" s="12">
        <f t="shared" si="115"/>
        <v>1</v>
      </c>
      <c r="BG189" s="12">
        <f t="shared" ca="1" si="116"/>
        <v>0</v>
      </c>
    </row>
    <row r="190" spans="1:59" ht="15.75" customHeight="1" x14ac:dyDescent="0.2">
      <c r="A190" s="19">
        <f t="shared" si="90"/>
        <v>1</v>
      </c>
      <c r="B190" s="20">
        <f t="shared" si="91"/>
        <v>1</v>
      </c>
      <c r="C190" s="20">
        <f t="shared" ca="1" si="92"/>
        <v>1</v>
      </c>
      <c r="D190" s="50">
        <f t="shared" ca="1" si="117"/>
        <v>0</v>
      </c>
      <c r="E190" s="11" t="s">
        <v>764</v>
      </c>
      <c r="F190" s="11" t="s">
        <v>149</v>
      </c>
      <c r="G190" s="11">
        <v>1000000189</v>
      </c>
      <c r="H190" s="11" t="s">
        <v>294</v>
      </c>
      <c r="I190" s="11" t="s">
        <v>140</v>
      </c>
      <c r="J190" s="11" t="s">
        <v>140</v>
      </c>
      <c r="K190" s="11" t="s">
        <v>185</v>
      </c>
      <c r="L190" s="70">
        <v>27669</v>
      </c>
      <c r="M190" s="11" t="s">
        <v>765</v>
      </c>
      <c r="N190" s="11">
        <v>3244077741</v>
      </c>
      <c r="O190" s="11" t="s">
        <v>766</v>
      </c>
      <c r="P190" s="11" t="s">
        <v>217</v>
      </c>
      <c r="Q190" s="11" t="s">
        <v>218</v>
      </c>
      <c r="R190" s="68">
        <v>45653</v>
      </c>
      <c r="S190" s="11" t="s">
        <v>157</v>
      </c>
      <c r="T190" s="11" t="s">
        <v>147</v>
      </c>
      <c r="U190" s="11">
        <v>95000</v>
      </c>
      <c r="V190" s="68">
        <v>45659</v>
      </c>
      <c r="W190" s="12">
        <f t="shared" si="93"/>
        <v>1</v>
      </c>
      <c r="X190" s="12">
        <f t="shared" si="94"/>
        <v>1</v>
      </c>
      <c r="Y190" s="12">
        <f t="shared" si="95"/>
        <v>1</v>
      </c>
      <c r="Z190" s="12">
        <f t="shared" si="96"/>
        <v>1</v>
      </c>
      <c r="AA190" s="12">
        <f t="shared" si="97"/>
        <v>1</v>
      </c>
      <c r="AB190" s="12">
        <f t="shared" si="98"/>
        <v>1</v>
      </c>
      <c r="AC190" s="12">
        <f t="shared" si="99"/>
        <v>1</v>
      </c>
      <c r="AD190" s="12">
        <f t="shared" si="118"/>
        <v>1</v>
      </c>
      <c r="AE190" s="12">
        <f t="shared" si="119"/>
        <v>1</v>
      </c>
      <c r="AF190" s="12">
        <f t="shared" si="120"/>
        <v>1</v>
      </c>
      <c r="AG190" s="12">
        <f t="shared" si="121"/>
        <v>1</v>
      </c>
      <c r="AH190" s="12">
        <f t="shared" si="122"/>
        <v>1</v>
      </c>
      <c r="AI190" s="12">
        <f t="shared" si="123"/>
        <v>1</v>
      </c>
      <c r="AJ190" s="12">
        <f t="shared" si="124"/>
        <v>1</v>
      </c>
      <c r="AK190" s="12">
        <f t="shared" si="125"/>
        <v>1</v>
      </c>
      <c r="AL190" s="12">
        <f t="shared" si="126"/>
        <v>1</v>
      </c>
      <c r="AM190" s="12">
        <f t="shared" si="100"/>
        <v>1</v>
      </c>
      <c r="AN190" s="12">
        <f t="shared" si="101"/>
        <v>1</v>
      </c>
      <c r="AO190" s="12">
        <f t="shared" si="102"/>
        <v>1</v>
      </c>
      <c r="AP190" s="12">
        <f t="shared" si="103"/>
        <v>1</v>
      </c>
      <c r="AQ190" s="12">
        <f t="shared" si="104"/>
        <v>1</v>
      </c>
      <c r="AR190" s="12">
        <f t="shared" si="105"/>
        <v>1</v>
      </c>
      <c r="AS190" s="12" cm="1">
        <f t="array" ref="AS190">IF(AND(H190&lt;&gt;"",SUMPRODUCT(--ISNUMBER(FIND({0;1;2;3;4;5;6;7;8;9},H190)))=0),1,0)</f>
        <v>1</v>
      </c>
      <c r="AT190" s="12" cm="1">
        <f t="array" ref="AT190">IF(AND(I190&lt;&gt;"",SUMPRODUCT(--ISNUMBER(FIND({0;1;2;3;4;5;6;7;8;9},I190)))=0),1,0)</f>
        <v>1</v>
      </c>
      <c r="AU190" s="12" cm="1">
        <f t="array" ref="AU190">IF(AND(J190&lt;&gt;"",SUMPRODUCT(--ISNUMBER(FIND({0;1;2;3;4;5;6;7;8;9},J190)))=0),1,0)</f>
        <v>1</v>
      </c>
      <c r="AV190" s="12">
        <f t="shared" si="127"/>
        <v>1</v>
      </c>
      <c r="AW190" s="12">
        <f t="shared" ca="1" si="106"/>
        <v>1</v>
      </c>
      <c r="AX190" s="12">
        <f t="shared" si="107"/>
        <v>1</v>
      </c>
      <c r="AY190" s="12">
        <f t="shared" si="108"/>
        <v>1</v>
      </c>
      <c r="AZ190" s="12">
        <f t="shared" si="109"/>
        <v>1</v>
      </c>
      <c r="BA190" s="12">
        <f t="shared" si="110"/>
        <v>1</v>
      </c>
      <c r="BB190" s="12">
        <f t="shared" si="111"/>
        <v>1</v>
      </c>
      <c r="BC190" s="12">
        <f t="shared" ca="1" si="112"/>
        <v>1</v>
      </c>
      <c r="BD190" s="12">
        <f t="shared" si="113"/>
        <v>1</v>
      </c>
      <c r="BE190" s="12">
        <f t="shared" si="114"/>
        <v>1</v>
      </c>
      <c r="BF190" s="12">
        <f t="shared" si="115"/>
        <v>1</v>
      </c>
      <c r="BG190" s="12">
        <f t="shared" ca="1" si="116"/>
        <v>1</v>
      </c>
    </row>
    <row r="191" spans="1:59" ht="15.75" customHeight="1" x14ac:dyDescent="0.2">
      <c r="A191" s="19">
        <f t="shared" si="90"/>
        <v>1</v>
      </c>
      <c r="B191" s="20">
        <f t="shared" si="91"/>
        <v>1</v>
      </c>
      <c r="C191" s="20">
        <f t="shared" ca="1" si="92"/>
        <v>1</v>
      </c>
      <c r="D191" s="50">
        <f t="shared" ca="1" si="117"/>
        <v>0</v>
      </c>
      <c r="E191" s="11" t="s">
        <v>767</v>
      </c>
      <c r="F191" s="11" t="s">
        <v>137</v>
      </c>
      <c r="G191" s="11">
        <v>1000000190</v>
      </c>
      <c r="H191" s="11" t="s">
        <v>161</v>
      </c>
      <c r="I191" s="11" t="s">
        <v>267</v>
      </c>
      <c r="J191" s="11" t="s">
        <v>231</v>
      </c>
      <c r="K191" s="11" t="s">
        <v>141</v>
      </c>
      <c r="L191" s="70">
        <v>31316</v>
      </c>
      <c r="M191" s="11" t="s">
        <v>768</v>
      </c>
      <c r="N191" s="11">
        <v>3730570920</v>
      </c>
      <c r="O191" s="11" t="s">
        <v>769</v>
      </c>
      <c r="P191" s="11" t="s">
        <v>172</v>
      </c>
      <c r="Q191" s="11" t="s">
        <v>173</v>
      </c>
      <c r="R191" s="68">
        <v>45083</v>
      </c>
      <c r="S191" s="11" t="s">
        <v>146</v>
      </c>
      <c r="T191" s="11" t="s">
        <v>158</v>
      </c>
      <c r="U191" s="11">
        <v>85000</v>
      </c>
      <c r="V191" s="68">
        <v>45332</v>
      </c>
      <c r="W191" s="12">
        <f t="shared" si="93"/>
        <v>1</v>
      </c>
      <c r="X191" s="12">
        <f t="shared" si="94"/>
        <v>1</v>
      </c>
      <c r="Y191" s="12">
        <f t="shared" si="95"/>
        <v>1</v>
      </c>
      <c r="Z191" s="12">
        <f t="shared" si="96"/>
        <v>1</v>
      </c>
      <c r="AA191" s="12">
        <f t="shared" si="97"/>
        <v>1</v>
      </c>
      <c r="AB191" s="12">
        <f t="shared" si="98"/>
        <v>1</v>
      </c>
      <c r="AC191" s="12">
        <f t="shared" si="99"/>
        <v>1</v>
      </c>
      <c r="AD191" s="12">
        <f t="shared" si="118"/>
        <v>1</v>
      </c>
      <c r="AE191" s="12">
        <f t="shared" si="119"/>
        <v>1</v>
      </c>
      <c r="AF191" s="12">
        <f t="shared" si="120"/>
        <v>1</v>
      </c>
      <c r="AG191" s="12">
        <f t="shared" si="121"/>
        <v>1</v>
      </c>
      <c r="AH191" s="12">
        <f t="shared" si="122"/>
        <v>1</v>
      </c>
      <c r="AI191" s="12">
        <f t="shared" si="123"/>
        <v>1</v>
      </c>
      <c r="AJ191" s="12">
        <f t="shared" si="124"/>
        <v>1</v>
      </c>
      <c r="AK191" s="12">
        <f t="shared" si="125"/>
        <v>1</v>
      </c>
      <c r="AL191" s="12">
        <f t="shared" si="126"/>
        <v>1</v>
      </c>
      <c r="AM191" s="12">
        <f t="shared" si="100"/>
        <v>1</v>
      </c>
      <c r="AN191" s="12">
        <f t="shared" si="101"/>
        <v>1</v>
      </c>
      <c r="AO191" s="12">
        <f t="shared" si="102"/>
        <v>1</v>
      </c>
      <c r="AP191" s="12">
        <f t="shared" si="103"/>
        <v>1</v>
      </c>
      <c r="AQ191" s="12">
        <f t="shared" si="104"/>
        <v>1</v>
      </c>
      <c r="AR191" s="12">
        <f t="shared" si="105"/>
        <v>1</v>
      </c>
      <c r="AS191" s="12" cm="1">
        <f t="array" ref="AS191">IF(AND(H191&lt;&gt;"",SUMPRODUCT(--ISNUMBER(FIND({0;1;2;3;4;5;6;7;8;9},H191)))=0),1,0)</f>
        <v>1</v>
      </c>
      <c r="AT191" s="12" cm="1">
        <f t="array" ref="AT191">IF(AND(I191&lt;&gt;"",SUMPRODUCT(--ISNUMBER(FIND({0;1;2;3;4;5;6;7;8;9},I191)))=0),1,0)</f>
        <v>1</v>
      </c>
      <c r="AU191" s="12" cm="1">
        <f t="array" ref="AU191">IF(AND(J191&lt;&gt;"",SUMPRODUCT(--ISNUMBER(FIND({0;1;2;3;4;5;6;7;8;9},J191)))=0),1,0)</f>
        <v>1</v>
      </c>
      <c r="AV191" s="12">
        <f t="shared" si="127"/>
        <v>1</v>
      </c>
      <c r="AW191" s="12">
        <f t="shared" ca="1" si="106"/>
        <v>1</v>
      </c>
      <c r="AX191" s="12">
        <f t="shared" si="107"/>
        <v>1</v>
      </c>
      <c r="AY191" s="12">
        <f t="shared" si="108"/>
        <v>1</v>
      </c>
      <c r="AZ191" s="12">
        <f t="shared" si="109"/>
        <v>1</v>
      </c>
      <c r="BA191" s="12">
        <f t="shared" si="110"/>
        <v>1</v>
      </c>
      <c r="BB191" s="12">
        <f t="shared" si="111"/>
        <v>1</v>
      </c>
      <c r="BC191" s="12">
        <f t="shared" ca="1" si="112"/>
        <v>1</v>
      </c>
      <c r="BD191" s="12">
        <f t="shared" si="113"/>
        <v>1</v>
      </c>
      <c r="BE191" s="12">
        <f t="shared" si="114"/>
        <v>1</v>
      </c>
      <c r="BF191" s="12">
        <f t="shared" si="115"/>
        <v>1</v>
      </c>
      <c r="BG191" s="12">
        <f t="shared" ca="1" si="116"/>
        <v>1</v>
      </c>
    </row>
    <row r="192" spans="1:59" ht="15.75" customHeight="1" x14ac:dyDescent="0.2">
      <c r="A192" s="19">
        <f t="shared" si="90"/>
        <v>1</v>
      </c>
      <c r="B192" s="20">
        <f t="shared" si="91"/>
        <v>1</v>
      </c>
      <c r="C192" s="20">
        <f t="shared" ca="1" si="92"/>
        <v>0</v>
      </c>
      <c r="D192" s="50">
        <f t="shared" ca="1" si="117"/>
        <v>1</v>
      </c>
      <c r="E192" s="11" t="s">
        <v>770</v>
      </c>
      <c r="F192" s="11" t="s">
        <v>160</v>
      </c>
      <c r="G192" s="11">
        <v>1000000191</v>
      </c>
      <c r="H192" s="11" t="s">
        <v>182</v>
      </c>
      <c r="I192" s="11" t="s">
        <v>267</v>
      </c>
      <c r="J192" s="11" t="s">
        <v>221</v>
      </c>
      <c r="K192" s="11" t="s">
        <v>185</v>
      </c>
      <c r="L192" s="70">
        <v>25425</v>
      </c>
      <c r="M192" s="11" t="s">
        <v>771</v>
      </c>
      <c r="N192" s="11">
        <v>3377938384</v>
      </c>
      <c r="O192" s="11" t="s">
        <v>772</v>
      </c>
      <c r="P192" s="11" t="s">
        <v>144</v>
      </c>
      <c r="Q192" s="11" t="s">
        <v>145</v>
      </c>
      <c r="R192" s="68">
        <v>46143</v>
      </c>
      <c r="S192" s="11" t="s">
        <v>174</v>
      </c>
      <c r="T192" s="11" t="s">
        <v>147</v>
      </c>
      <c r="U192" s="11">
        <v>90000</v>
      </c>
      <c r="V192" s="68">
        <v>46426</v>
      </c>
      <c r="W192" s="12">
        <f t="shared" si="93"/>
        <v>1</v>
      </c>
      <c r="X192" s="12">
        <f t="shared" si="94"/>
        <v>1</v>
      </c>
      <c r="Y192" s="12">
        <f t="shared" si="95"/>
        <v>1</v>
      </c>
      <c r="Z192" s="12">
        <f t="shared" si="96"/>
        <v>1</v>
      </c>
      <c r="AA192" s="12">
        <f t="shared" si="97"/>
        <v>1</v>
      </c>
      <c r="AB192" s="12">
        <f t="shared" si="98"/>
        <v>1</v>
      </c>
      <c r="AC192" s="12">
        <f t="shared" si="99"/>
        <v>1</v>
      </c>
      <c r="AD192" s="12">
        <f t="shared" si="118"/>
        <v>1</v>
      </c>
      <c r="AE192" s="12">
        <f t="shared" si="119"/>
        <v>1</v>
      </c>
      <c r="AF192" s="12">
        <f t="shared" si="120"/>
        <v>1</v>
      </c>
      <c r="AG192" s="12">
        <f t="shared" si="121"/>
        <v>1</v>
      </c>
      <c r="AH192" s="12">
        <f t="shared" si="122"/>
        <v>1</v>
      </c>
      <c r="AI192" s="12">
        <f t="shared" si="123"/>
        <v>1</v>
      </c>
      <c r="AJ192" s="12">
        <f t="shared" si="124"/>
        <v>1</v>
      </c>
      <c r="AK192" s="12">
        <f t="shared" si="125"/>
        <v>1</v>
      </c>
      <c r="AL192" s="12">
        <f t="shared" si="126"/>
        <v>1</v>
      </c>
      <c r="AM192" s="12">
        <f t="shared" si="100"/>
        <v>1</v>
      </c>
      <c r="AN192" s="12">
        <f t="shared" si="101"/>
        <v>1</v>
      </c>
      <c r="AO192" s="12">
        <f t="shared" si="102"/>
        <v>1</v>
      </c>
      <c r="AP192" s="12">
        <f t="shared" si="103"/>
        <v>1</v>
      </c>
      <c r="AQ192" s="12">
        <f t="shared" si="104"/>
        <v>1</v>
      </c>
      <c r="AR192" s="12">
        <f t="shared" si="105"/>
        <v>1</v>
      </c>
      <c r="AS192" s="12" cm="1">
        <f t="array" ref="AS192">IF(AND(H192&lt;&gt;"",SUMPRODUCT(--ISNUMBER(FIND({0;1;2;3;4;5;6;7;8;9},H192)))=0),1,0)</f>
        <v>1</v>
      </c>
      <c r="AT192" s="12" cm="1">
        <f t="array" ref="AT192">IF(AND(I192&lt;&gt;"",SUMPRODUCT(--ISNUMBER(FIND({0;1;2;3;4;5;6;7;8;9},I192)))=0),1,0)</f>
        <v>1</v>
      </c>
      <c r="AU192" s="12" cm="1">
        <f t="array" ref="AU192">IF(AND(J192&lt;&gt;"",SUMPRODUCT(--ISNUMBER(FIND({0;1;2;3;4;5;6;7;8;9},J192)))=0),1,0)</f>
        <v>1</v>
      </c>
      <c r="AV192" s="12">
        <f t="shared" si="127"/>
        <v>1</v>
      </c>
      <c r="AW192" s="12">
        <f t="shared" ca="1" si="106"/>
        <v>1</v>
      </c>
      <c r="AX192" s="12">
        <f t="shared" si="107"/>
        <v>1</v>
      </c>
      <c r="AY192" s="12">
        <f t="shared" si="108"/>
        <v>1</v>
      </c>
      <c r="AZ192" s="12">
        <f t="shared" si="109"/>
        <v>1</v>
      </c>
      <c r="BA192" s="12">
        <f t="shared" si="110"/>
        <v>1</v>
      </c>
      <c r="BB192" s="12">
        <f t="shared" si="111"/>
        <v>1</v>
      </c>
      <c r="BC192" s="12">
        <f t="shared" ca="1" si="112"/>
        <v>1</v>
      </c>
      <c r="BD192" s="12">
        <f t="shared" si="113"/>
        <v>1</v>
      </c>
      <c r="BE192" s="12">
        <f t="shared" si="114"/>
        <v>1</v>
      </c>
      <c r="BF192" s="12">
        <f t="shared" si="115"/>
        <v>1</v>
      </c>
      <c r="BG192" s="12">
        <f t="shared" ca="1" si="116"/>
        <v>0</v>
      </c>
    </row>
    <row r="193" spans="1:59" ht="15.75" customHeight="1" x14ac:dyDescent="0.2">
      <c r="A193" s="19">
        <f t="shared" si="90"/>
        <v>1</v>
      </c>
      <c r="B193" s="20">
        <f t="shared" si="91"/>
        <v>1</v>
      </c>
      <c r="C193" s="20">
        <f t="shared" ca="1" si="92"/>
        <v>1</v>
      </c>
      <c r="D193" s="50">
        <f t="shared" ca="1" si="117"/>
        <v>0</v>
      </c>
      <c r="E193" s="11" t="s">
        <v>773</v>
      </c>
      <c r="F193" s="11" t="s">
        <v>137</v>
      </c>
      <c r="G193" s="11">
        <v>1000000192</v>
      </c>
      <c r="H193" s="11" t="s">
        <v>199</v>
      </c>
      <c r="I193" s="11" t="s">
        <v>184</v>
      </c>
      <c r="J193" s="11" t="s">
        <v>231</v>
      </c>
      <c r="K193" s="11" t="s">
        <v>185</v>
      </c>
      <c r="L193" s="70">
        <v>24933</v>
      </c>
      <c r="M193" s="11" t="s">
        <v>774</v>
      </c>
      <c r="N193" s="11">
        <v>3100304742</v>
      </c>
      <c r="O193" s="11" t="s">
        <v>775</v>
      </c>
      <c r="P193" s="11" t="s">
        <v>217</v>
      </c>
      <c r="Q193" s="11" t="s">
        <v>218</v>
      </c>
      <c r="R193" s="68">
        <v>45137</v>
      </c>
      <c r="S193" s="11" t="s">
        <v>157</v>
      </c>
      <c r="T193" s="11" t="s">
        <v>147</v>
      </c>
      <c r="U193" s="11">
        <v>85000</v>
      </c>
      <c r="V193" s="68">
        <v>45319</v>
      </c>
      <c r="W193" s="12">
        <f t="shared" si="93"/>
        <v>1</v>
      </c>
      <c r="X193" s="12">
        <f t="shared" si="94"/>
        <v>1</v>
      </c>
      <c r="Y193" s="12">
        <f t="shared" si="95"/>
        <v>1</v>
      </c>
      <c r="Z193" s="12">
        <f t="shared" si="96"/>
        <v>1</v>
      </c>
      <c r="AA193" s="12">
        <f t="shared" si="97"/>
        <v>1</v>
      </c>
      <c r="AB193" s="12">
        <f t="shared" si="98"/>
        <v>1</v>
      </c>
      <c r="AC193" s="12">
        <f t="shared" si="99"/>
        <v>1</v>
      </c>
      <c r="AD193" s="12">
        <f t="shared" si="118"/>
        <v>1</v>
      </c>
      <c r="AE193" s="12">
        <f t="shared" si="119"/>
        <v>1</v>
      </c>
      <c r="AF193" s="12">
        <f t="shared" si="120"/>
        <v>1</v>
      </c>
      <c r="AG193" s="12">
        <f t="shared" si="121"/>
        <v>1</v>
      </c>
      <c r="AH193" s="12">
        <f t="shared" si="122"/>
        <v>1</v>
      </c>
      <c r="AI193" s="12">
        <f t="shared" si="123"/>
        <v>1</v>
      </c>
      <c r="AJ193" s="12">
        <f t="shared" si="124"/>
        <v>1</v>
      </c>
      <c r="AK193" s="12">
        <f t="shared" si="125"/>
        <v>1</v>
      </c>
      <c r="AL193" s="12">
        <f t="shared" si="126"/>
        <v>1</v>
      </c>
      <c r="AM193" s="12">
        <f t="shared" si="100"/>
        <v>1</v>
      </c>
      <c r="AN193" s="12">
        <f t="shared" si="101"/>
        <v>1</v>
      </c>
      <c r="AO193" s="12">
        <f t="shared" si="102"/>
        <v>1</v>
      </c>
      <c r="AP193" s="12">
        <f t="shared" si="103"/>
        <v>1</v>
      </c>
      <c r="AQ193" s="12">
        <f t="shared" si="104"/>
        <v>1</v>
      </c>
      <c r="AR193" s="12">
        <f t="shared" si="105"/>
        <v>1</v>
      </c>
      <c r="AS193" s="12" cm="1">
        <f t="array" ref="AS193">IF(AND(H193&lt;&gt;"",SUMPRODUCT(--ISNUMBER(FIND({0;1;2;3;4;5;6;7;8;9},H193)))=0),1,0)</f>
        <v>1</v>
      </c>
      <c r="AT193" s="12" cm="1">
        <f t="array" ref="AT193">IF(AND(I193&lt;&gt;"",SUMPRODUCT(--ISNUMBER(FIND({0;1;2;3;4;5;6;7;8;9},I193)))=0),1,0)</f>
        <v>1</v>
      </c>
      <c r="AU193" s="12" cm="1">
        <f t="array" ref="AU193">IF(AND(J193&lt;&gt;"",SUMPRODUCT(--ISNUMBER(FIND({0;1;2;3;4;5;6;7;8;9},J193)))=0),1,0)</f>
        <v>1</v>
      </c>
      <c r="AV193" s="12">
        <f t="shared" si="127"/>
        <v>1</v>
      </c>
      <c r="AW193" s="12">
        <f t="shared" ca="1" si="106"/>
        <v>1</v>
      </c>
      <c r="AX193" s="12">
        <f t="shared" si="107"/>
        <v>1</v>
      </c>
      <c r="AY193" s="12">
        <f t="shared" si="108"/>
        <v>1</v>
      </c>
      <c r="AZ193" s="12">
        <f t="shared" si="109"/>
        <v>1</v>
      </c>
      <c r="BA193" s="12">
        <f t="shared" si="110"/>
        <v>1</v>
      </c>
      <c r="BB193" s="12">
        <f t="shared" si="111"/>
        <v>1</v>
      </c>
      <c r="BC193" s="12">
        <f t="shared" ca="1" si="112"/>
        <v>1</v>
      </c>
      <c r="BD193" s="12">
        <f t="shared" si="113"/>
        <v>1</v>
      </c>
      <c r="BE193" s="12">
        <f t="shared" si="114"/>
        <v>1</v>
      </c>
      <c r="BF193" s="12">
        <f t="shared" si="115"/>
        <v>1</v>
      </c>
      <c r="BG193" s="12">
        <f t="shared" ca="1" si="116"/>
        <v>1</v>
      </c>
    </row>
    <row r="194" spans="1:59" ht="15.75" customHeight="1" x14ac:dyDescent="0.2">
      <c r="A194" s="19">
        <f t="shared" si="90"/>
        <v>1</v>
      </c>
      <c r="B194" s="20">
        <f t="shared" si="91"/>
        <v>1</v>
      </c>
      <c r="C194" s="20">
        <f t="shared" ca="1" si="92"/>
        <v>1</v>
      </c>
      <c r="D194" s="50">
        <f t="shared" ca="1" si="117"/>
        <v>0</v>
      </c>
      <c r="E194" s="11" t="s">
        <v>776</v>
      </c>
      <c r="F194" s="11" t="s">
        <v>149</v>
      </c>
      <c r="G194" s="11">
        <v>1000000193</v>
      </c>
      <c r="H194" s="11" t="s">
        <v>386</v>
      </c>
      <c r="I194" s="11" t="s">
        <v>140</v>
      </c>
      <c r="J194" s="11" t="s">
        <v>195</v>
      </c>
      <c r="K194" s="11" t="s">
        <v>141</v>
      </c>
      <c r="L194" s="70">
        <v>33777</v>
      </c>
      <c r="M194" s="11" t="s">
        <v>777</v>
      </c>
      <c r="N194" s="11">
        <v>3593072973</v>
      </c>
      <c r="O194" s="11" t="s">
        <v>778</v>
      </c>
      <c r="P194" s="11" t="s">
        <v>179</v>
      </c>
      <c r="Q194" s="11" t="s">
        <v>180</v>
      </c>
      <c r="R194" s="68">
        <v>45710</v>
      </c>
      <c r="S194" s="11" t="s">
        <v>157</v>
      </c>
      <c r="T194" s="11" t="s">
        <v>147</v>
      </c>
      <c r="U194" s="11">
        <v>95000</v>
      </c>
      <c r="V194" s="68">
        <v>45834</v>
      </c>
      <c r="W194" s="12">
        <f t="shared" si="93"/>
        <v>1</v>
      </c>
      <c r="X194" s="12">
        <f t="shared" si="94"/>
        <v>1</v>
      </c>
      <c r="Y194" s="12">
        <f t="shared" si="95"/>
        <v>1</v>
      </c>
      <c r="Z194" s="12">
        <f t="shared" si="96"/>
        <v>1</v>
      </c>
      <c r="AA194" s="12">
        <f t="shared" si="97"/>
        <v>1</v>
      </c>
      <c r="AB194" s="12">
        <f t="shared" si="98"/>
        <v>1</v>
      </c>
      <c r="AC194" s="12">
        <f t="shared" si="99"/>
        <v>1</v>
      </c>
      <c r="AD194" s="12">
        <f t="shared" si="118"/>
        <v>1</v>
      </c>
      <c r="AE194" s="12">
        <f t="shared" si="119"/>
        <v>1</v>
      </c>
      <c r="AF194" s="12">
        <f t="shared" si="120"/>
        <v>1</v>
      </c>
      <c r="AG194" s="12">
        <f t="shared" si="121"/>
        <v>1</v>
      </c>
      <c r="AH194" s="12">
        <f t="shared" si="122"/>
        <v>1</v>
      </c>
      <c r="AI194" s="12">
        <f t="shared" si="123"/>
        <v>1</v>
      </c>
      <c r="AJ194" s="12">
        <f t="shared" si="124"/>
        <v>1</v>
      </c>
      <c r="AK194" s="12">
        <f t="shared" si="125"/>
        <v>1</v>
      </c>
      <c r="AL194" s="12">
        <f t="shared" si="126"/>
        <v>1</v>
      </c>
      <c r="AM194" s="12">
        <f t="shared" si="100"/>
        <v>1</v>
      </c>
      <c r="AN194" s="12">
        <f t="shared" si="101"/>
        <v>1</v>
      </c>
      <c r="AO194" s="12">
        <f t="shared" si="102"/>
        <v>1</v>
      </c>
      <c r="AP194" s="12">
        <f t="shared" si="103"/>
        <v>1</v>
      </c>
      <c r="AQ194" s="12">
        <f t="shared" si="104"/>
        <v>1</v>
      </c>
      <c r="AR194" s="12">
        <f t="shared" si="105"/>
        <v>1</v>
      </c>
      <c r="AS194" s="12" cm="1">
        <f t="array" ref="AS194">IF(AND(H194&lt;&gt;"",SUMPRODUCT(--ISNUMBER(FIND({0;1;2;3;4;5;6;7;8;9},H194)))=0),1,0)</f>
        <v>1</v>
      </c>
      <c r="AT194" s="12" cm="1">
        <f t="array" ref="AT194">IF(AND(I194&lt;&gt;"",SUMPRODUCT(--ISNUMBER(FIND({0;1;2;3;4;5;6;7;8;9},I194)))=0),1,0)</f>
        <v>1</v>
      </c>
      <c r="AU194" s="12" cm="1">
        <f t="array" ref="AU194">IF(AND(J194&lt;&gt;"",SUMPRODUCT(--ISNUMBER(FIND({0;1;2;3;4;5;6;7;8;9},J194)))=0),1,0)</f>
        <v>1</v>
      </c>
      <c r="AV194" s="12">
        <f t="shared" si="127"/>
        <v>1</v>
      </c>
      <c r="AW194" s="12">
        <f t="shared" ca="1" si="106"/>
        <v>1</v>
      </c>
      <c r="AX194" s="12">
        <f t="shared" si="107"/>
        <v>1</v>
      </c>
      <c r="AY194" s="12">
        <f t="shared" si="108"/>
        <v>1</v>
      </c>
      <c r="AZ194" s="12">
        <f t="shared" si="109"/>
        <v>1</v>
      </c>
      <c r="BA194" s="12">
        <f t="shared" si="110"/>
        <v>1</v>
      </c>
      <c r="BB194" s="12">
        <f t="shared" si="111"/>
        <v>1</v>
      </c>
      <c r="BC194" s="12">
        <f t="shared" ca="1" si="112"/>
        <v>1</v>
      </c>
      <c r="BD194" s="12">
        <f t="shared" si="113"/>
        <v>1</v>
      </c>
      <c r="BE194" s="12">
        <f t="shared" si="114"/>
        <v>1</v>
      </c>
      <c r="BF194" s="12">
        <f t="shared" si="115"/>
        <v>1</v>
      </c>
      <c r="BG194" s="12">
        <f t="shared" ca="1" si="116"/>
        <v>1</v>
      </c>
    </row>
    <row r="195" spans="1:59" ht="15.75" customHeight="1" x14ac:dyDescent="0.2">
      <c r="A195" s="19">
        <f t="shared" ref="A195:A201" si="128">IF(AND(W195=1,X195=1),1,0)</f>
        <v>1</v>
      </c>
      <c r="B195" s="20">
        <f t="shared" ref="B195:B201" si="129">IF(AND(Y195=1,Z195=1,AA195=1,AB195=1,AC195=1,AD195=1,AE195=1,AF195=1,AG195=1,AH195=1,AI195=1,AJ195=1,AK195=1,AL195=1,AM195=1,AN195=1,AO195=1),1,0)</f>
        <v>1</v>
      </c>
      <c r="C195" s="20">
        <f t="shared" ref="C195:C201" ca="1" si="130">IF(AND(AP195=1,AQ195=1,AR195=1,AS195=1,AT195=1,AU195=1,AV195=1,AW195=1,AX195=1,AY195=1,AZ195=1,BA195=1,BB195=1,BC195=1,BD195=1,BE195=1,BF195=1,BG195=1),1,0)</f>
        <v>1</v>
      </c>
      <c r="D195" s="50">
        <f t="shared" ca="1" si="117"/>
        <v>0</v>
      </c>
      <c r="E195" s="11" t="s">
        <v>779</v>
      </c>
      <c r="F195" s="11" t="s">
        <v>137</v>
      </c>
      <c r="G195" s="11">
        <v>1000000194</v>
      </c>
      <c r="H195" s="11" t="s">
        <v>199</v>
      </c>
      <c r="I195" s="11" t="s">
        <v>235</v>
      </c>
      <c r="J195" s="11" t="s">
        <v>221</v>
      </c>
      <c r="K195" s="11" t="s">
        <v>185</v>
      </c>
      <c r="L195" s="70">
        <v>27865</v>
      </c>
      <c r="M195" s="11" t="s">
        <v>780</v>
      </c>
      <c r="N195" s="11">
        <v>3767376229</v>
      </c>
      <c r="O195" s="11" t="s">
        <v>781</v>
      </c>
      <c r="P195" s="11" t="s">
        <v>165</v>
      </c>
      <c r="Q195" s="11" t="s">
        <v>156</v>
      </c>
      <c r="R195" s="68">
        <v>44609</v>
      </c>
      <c r="S195" s="11" t="s">
        <v>157</v>
      </c>
      <c r="T195" s="11" t="s">
        <v>147</v>
      </c>
      <c r="U195" s="11">
        <v>85000</v>
      </c>
      <c r="V195" s="68">
        <v>44905</v>
      </c>
      <c r="W195" s="12">
        <f t="shared" ref="W195:W201" si="131">IF(COUNTIF(E$2:E$201,E195)&gt;1,0,1)</f>
        <v>1</v>
      </c>
      <c r="X195" s="12">
        <f t="shared" ref="X195:X201" si="132">IF(COUNTIF(G$2:G$201,G195)&gt;1,0,1)</f>
        <v>1</v>
      </c>
      <c r="Y195" s="12">
        <f t="shared" ref="Y195:Y201" si="133">IF(E195="",0,1)</f>
        <v>1</v>
      </c>
      <c r="Z195" s="12">
        <f t="shared" ref="Z195:Z201" si="134">IF(F195="",0,1)</f>
        <v>1</v>
      </c>
      <c r="AA195" s="12">
        <f t="shared" ref="AA195:AA201" si="135">IF(G195="",0,1)</f>
        <v>1</v>
      </c>
      <c r="AB195" s="12">
        <f t="shared" ref="AB195:AB201" si="136">IF(H195="",0,1)</f>
        <v>1</v>
      </c>
      <c r="AC195" s="12">
        <f t="shared" ref="AC195:AC201" si="137">IF(I195="",0,1)</f>
        <v>1</v>
      </c>
      <c r="AD195" s="12">
        <f t="shared" si="118"/>
        <v>1</v>
      </c>
      <c r="AE195" s="12">
        <f t="shared" si="119"/>
        <v>1</v>
      </c>
      <c r="AF195" s="12">
        <f t="shared" si="120"/>
        <v>1</v>
      </c>
      <c r="AG195" s="12">
        <f t="shared" si="121"/>
        <v>1</v>
      </c>
      <c r="AH195" s="12">
        <f t="shared" si="122"/>
        <v>1</v>
      </c>
      <c r="AI195" s="12">
        <f t="shared" si="123"/>
        <v>1</v>
      </c>
      <c r="AJ195" s="12">
        <f t="shared" si="124"/>
        <v>1</v>
      </c>
      <c r="AK195" s="12">
        <f t="shared" si="125"/>
        <v>1</v>
      </c>
      <c r="AL195" s="12">
        <f t="shared" si="126"/>
        <v>1</v>
      </c>
      <c r="AM195" s="12">
        <f t="shared" ref="AM195:AM201" si="138">IF(T195="",0,1)</f>
        <v>1</v>
      </c>
      <c r="AN195" s="12">
        <f t="shared" ref="AN195:AN201" si="139">IF(U195="",0,1)</f>
        <v>1</v>
      </c>
      <c r="AO195" s="12">
        <f t="shared" ref="AO195:AO201" si="140">IF(V195="",0,1)</f>
        <v>1</v>
      </c>
      <c r="AP195" s="12">
        <f t="shared" ref="AP195:AP201" si="141">IF(AND(LEFT(E195,2)="AF",LEN(E195)=6),1,0)</f>
        <v>1</v>
      </c>
      <c r="AQ195" s="12">
        <f t="shared" ref="AQ195:AQ201" si="142">IF(OR(F195="CC",F195="CE",F195="TI",F195="PAS"),1,0)</f>
        <v>1</v>
      </c>
      <c r="AR195" s="12">
        <f t="shared" ref="AR195:AR201" si="143">IF(AND(ISNUMBER(G195),COUNTIF($G:$G,G195)=1),1,0)</f>
        <v>1</v>
      </c>
      <c r="AS195" s="12" cm="1">
        <f t="array" ref="AS195">IF(AND(H195&lt;&gt;"",SUMPRODUCT(--ISNUMBER(FIND({0;1;2;3;4;5;6;7;8;9},H195)))=0),1,0)</f>
        <v>1</v>
      </c>
      <c r="AT195" s="12" cm="1">
        <f t="array" ref="AT195">IF(AND(I195&lt;&gt;"",SUMPRODUCT(--ISNUMBER(FIND({0;1;2;3;4;5;6;7;8;9},I195)))=0),1,0)</f>
        <v>1</v>
      </c>
      <c r="AU195" s="12" cm="1">
        <f t="array" ref="AU195">IF(AND(J195&lt;&gt;"",SUMPRODUCT(--ISNUMBER(FIND({0;1;2;3;4;5;6;7;8;9},J195)))=0),1,0)</f>
        <v>1</v>
      </c>
      <c r="AV195" s="12">
        <f t="shared" si="127"/>
        <v>1</v>
      </c>
      <c r="AW195" s="12">
        <f t="shared" ref="AW195:AW201" ca="1" si="144">IF(AND(ISNUMBER(L195),L195&lt;=TODAY()),1,0)</f>
        <v>1</v>
      </c>
      <c r="AX195" s="12">
        <f t="shared" ref="AX195:AX201" si="145">IF(AND(ISNUMBER(SEARCH("@",M195)),ISNUMBER(SEARCH(".",M195,SEARCH("@",M195)+2)),NOT(ISNUMBER(SEARCH(" ",M195)))),1,0)</f>
        <v>1</v>
      </c>
      <c r="AY195" s="12">
        <f t="shared" ref="AY195:AY201" si="146">IF(AND(ISNUMBER(N195),LEN(N195)=10),1,0)</f>
        <v>1</v>
      </c>
      <c r="AZ195" s="12">
        <f t="shared" ref="AZ195:AZ201" si="147">IF(LEN(TRIM(O195))&gt;=10,1,0)</f>
        <v>1</v>
      </c>
      <c r="BA195" s="12">
        <f t="shared" ref="BA195:BA201" si="148">IF(OR(ISBLANK(O195),O195=""),1,IF(ISTEXT(O195),1,0))</f>
        <v>1</v>
      </c>
      <c r="BB195" s="12">
        <f t="shared" ref="BB195:BB201" si="149">IF(OR(ISBLANK(P195),P195=""),1,IF(ISTEXT(P195),1,0))</f>
        <v>1</v>
      </c>
      <c r="BC195" s="12">
        <f t="shared" ref="BC195:BC201" ca="1" si="150">IF(AND(ISNUMBER(R195),R195&lt;=TODAY()),1,0)</f>
        <v>1</v>
      </c>
      <c r="BD195" s="12">
        <f t="shared" ref="BD195:BD201" si="151">IF(OR(ISBLANK(S195),S195=""),1,IF(ISTEXT(S195),1,0))</f>
        <v>1</v>
      </c>
      <c r="BE195" s="12">
        <f t="shared" ref="BE195:BE201" si="152">IF(OR(ISBLANK(T195),T195=""),1,IF(ISTEXT(T195),1,0))</f>
        <v>1</v>
      </c>
      <c r="BF195" s="12">
        <f t="shared" ref="BF195:BF201" si="153">IF(AND(ISNUMBER(U195),U195&gt;0),1,0)</f>
        <v>1</v>
      </c>
      <c r="BG195" s="12">
        <f t="shared" ref="BG195:BG201" ca="1" si="154">IF(AND(ISNUMBER(V195),V195&lt;=TODAY()),1,0)</f>
        <v>1</v>
      </c>
    </row>
    <row r="196" spans="1:59" ht="15.75" customHeight="1" x14ac:dyDescent="0.2">
      <c r="A196" s="19">
        <f t="shared" si="128"/>
        <v>1</v>
      </c>
      <c r="B196" s="20">
        <f t="shared" si="129"/>
        <v>1</v>
      </c>
      <c r="C196" s="20">
        <f t="shared" ca="1" si="130"/>
        <v>1</v>
      </c>
      <c r="D196" s="50">
        <f t="shared" ca="1" si="117"/>
        <v>0</v>
      </c>
      <c r="E196" s="11" t="s">
        <v>782</v>
      </c>
      <c r="F196" s="11" t="s">
        <v>149</v>
      </c>
      <c r="G196" s="11">
        <v>1000000195</v>
      </c>
      <c r="H196" s="11" t="s">
        <v>321</v>
      </c>
      <c r="I196" s="11" t="s">
        <v>169</v>
      </c>
      <c r="J196" s="11" t="s">
        <v>152</v>
      </c>
      <c r="K196" s="11" t="s">
        <v>185</v>
      </c>
      <c r="L196" s="70">
        <v>37008</v>
      </c>
      <c r="M196" s="11" t="s">
        <v>783</v>
      </c>
      <c r="N196" s="11">
        <v>3493807212</v>
      </c>
      <c r="O196" s="11" t="s">
        <v>784</v>
      </c>
      <c r="P196" s="11" t="s">
        <v>224</v>
      </c>
      <c r="Q196" s="11" t="s">
        <v>225</v>
      </c>
      <c r="R196" s="68">
        <v>45246</v>
      </c>
      <c r="S196" s="11" t="s">
        <v>157</v>
      </c>
      <c r="T196" s="11" t="s">
        <v>166</v>
      </c>
      <c r="U196" s="11">
        <v>95000</v>
      </c>
      <c r="V196" s="68">
        <v>45465</v>
      </c>
      <c r="W196" s="12">
        <f t="shared" si="131"/>
        <v>1</v>
      </c>
      <c r="X196" s="12">
        <f t="shared" si="132"/>
        <v>1</v>
      </c>
      <c r="Y196" s="12">
        <f t="shared" si="133"/>
        <v>1</v>
      </c>
      <c r="Z196" s="12">
        <f t="shared" si="134"/>
        <v>1</v>
      </c>
      <c r="AA196" s="12">
        <f t="shared" si="135"/>
        <v>1</v>
      </c>
      <c r="AB196" s="12">
        <f t="shared" si="136"/>
        <v>1</v>
      </c>
      <c r="AC196" s="12">
        <f t="shared" si="137"/>
        <v>1</v>
      </c>
      <c r="AD196" s="12">
        <f t="shared" si="118"/>
        <v>1</v>
      </c>
      <c r="AE196" s="12">
        <f t="shared" si="119"/>
        <v>1</v>
      </c>
      <c r="AF196" s="12">
        <f t="shared" si="120"/>
        <v>1</v>
      </c>
      <c r="AG196" s="12">
        <f t="shared" si="121"/>
        <v>1</v>
      </c>
      <c r="AH196" s="12">
        <f t="shared" si="122"/>
        <v>1</v>
      </c>
      <c r="AI196" s="12">
        <f t="shared" si="123"/>
        <v>1</v>
      </c>
      <c r="AJ196" s="12">
        <f t="shared" si="124"/>
        <v>1</v>
      </c>
      <c r="AK196" s="12">
        <f t="shared" si="125"/>
        <v>1</v>
      </c>
      <c r="AL196" s="12">
        <f t="shared" si="126"/>
        <v>1</v>
      </c>
      <c r="AM196" s="12">
        <f t="shared" si="138"/>
        <v>1</v>
      </c>
      <c r="AN196" s="12">
        <f t="shared" si="139"/>
        <v>1</v>
      </c>
      <c r="AO196" s="12">
        <f t="shared" si="140"/>
        <v>1</v>
      </c>
      <c r="AP196" s="12">
        <f t="shared" si="141"/>
        <v>1</v>
      </c>
      <c r="AQ196" s="12">
        <f t="shared" si="142"/>
        <v>1</v>
      </c>
      <c r="AR196" s="12">
        <f t="shared" si="143"/>
        <v>1</v>
      </c>
      <c r="AS196" s="12" cm="1">
        <f t="array" ref="AS196">IF(AND(H196&lt;&gt;"",SUMPRODUCT(--ISNUMBER(FIND({0;1;2;3;4;5;6;7;8;9},H196)))=0),1,0)</f>
        <v>1</v>
      </c>
      <c r="AT196" s="12" cm="1">
        <f t="array" ref="AT196">IF(AND(I196&lt;&gt;"",SUMPRODUCT(--ISNUMBER(FIND({0;1;2;3;4;5;6;7;8;9},I196)))=0),1,0)</f>
        <v>1</v>
      </c>
      <c r="AU196" s="12" cm="1">
        <f t="array" ref="AU196">IF(AND(J196&lt;&gt;"",SUMPRODUCT(--ISNUMBER(FIND({0;1;2;3;4;5;6;7;8;9},J196)))=0),1,0)</f>
        <v>1</v>
      </c>
      <c r="AV196" s="12">
        <f t="shared" si="127"/>
        <v>1</v>
      </c>
      <c r="AW196" s="12">
        <f t="shared" ca="1" si="144"/>
        <v>1</v>
      </c>
      <c r="AX196" s="12">
        <f t="shared" si="145"/>
        <v>1</v>
      </c>
      <c r="AY196" s="12">
        <f t="shared" si="146"/>
        <v>1</v>
      </c>
      <c r="AZ196" s="12">
        <f t="shared" si="147"/>
        <v>1</v>
      </c>
      <c r="BA196" s="12">
        <f t="shared" si="148"/>
        <v>1</v>
      </c>
      <c r="BB196" s="12">
        <f t="shared" si="149"/>
        <v>1</v>
      </c>
      <c r="BC196" s="12">
        <f t="shared" ca="1" si="150"/>
        <v>1</v>
      </c>
      <c r="BD196" s="12">
        <f t="shared" si="151"/>
        <v>1</v>
      </c>
      <c r="BE196" s="12">
        <f t="shared" si="152"/>
        <v>1</v>
      </c>
      <c r="BF196" s="12">
        <f t="shared" si="153"/>
        <v>1</v>
      </c>
      <c r="BG196" s="12">
        <f t="shared" ca="1" si="154"/>
        <v>1</v>
      </c>
    </row>
    <row r="197" spans="1:59" ht="15.75" customHeight="1" x14ac:dyDescent="0.2">
      <c r="A197" s="19">
        <f t="shared" si="128"/>
        <v>1</v>
      </c>
      <c r="B197" s="20">
        <f t="shared" si="129"/>
        <v>1</v>
      </c>
      <c r="C197" s="20">
        <f t="shared" ca="1" si="130"/>
        <v>1</v>
      </c>
      <c r="D197" s="50">
        <f t="shared" ca="1" si="117"/>
        <v>0</v>
      </c>
      <c r="E197" s="11" t="s">
        <v>785</v>
      </c>
      <c r="F197" s="11" t="s">
        <v>149</v>
      </c>
      <c r="G197" s="11">
        <v>1000000196</v>
      </c>
      <c r="H197" s="11" t="s">
        <v>189</v>
      </c>
      <c r="I197" s="11" t="s">
        <v>168</v>
      </c>
      <c r="J197" s="11" t="s">
        <v>162</v>
      </c>
      <c r="K197" s="11" t="s">
        <v>185</v>
      </c>
      <c r="L197" s="70">
        <v>29808</v>
      </c>
      <c r="M197" s="11" t="s">
        <v>786</v>
      </c>
      <c r="N197" s="11">
        <v>3999457658</v>
      </c>
      <c r="O197" s="11" t="s">
        <v>787</v>
      </c>
      <c r="P197" s="11" t="s">
        <v>155</v>
      </c>
      <c r="Q197" s="11" t="s">
        <v>156</v>
      </c>
      <c r="R197" s="68">
        <v>45416</v>
      </c>
      <c r="S197" s="11" t="s">
        <v>174</v>
      </c>
      <c r="T197" s="11" t="s">
        <v>158</v>
      </c>
      <c r="U197" s="11">
        <v>95000</v>
      </c>
      <c r="V197" s="68">
        <v>45604</v>
      </c>
      <c r="W197" s="12">
        <f t="shared" si="131"/>
        <v>1</v>
      </c>
      <c r="X197" s="12">
        <f t="shared" si="132"/>
        <v>1</v>
      </c>
      <c r="Y197" s="12">
        <f t="shared" si="133"/>
        <v>1</v>
      </c>
      <c r="Z197" s="12">
        <f t="shared" si="134"/>
        <v>1</v>
      </c>
      <c r="AA197" s="12">
        <f t="shared" si="135"/>
        <v>1</v>
      </c>
      <c r="AB197" s="12">
        <f t="shared" si="136"/>
        <v>1</v>
      </c>
      <c r="AC197" s="12">
        <f t="shared" si="137"/>
        <v>1</v>
      </c>
      <c r="AD197" s="12">
        <f t="shared" si="118"/>
        <v>1</v>
      </c>
      <c r="AE197" s="12">
        <f t="shared" si="119"/>
        <v>1</v>
      </c>
      <c r="AF197" s="12">
        <f t="shared" si="120"/>
        <v>1</v>
      </c>
      <c r="AG197" s="12">
        <f t="shared" si="121"/>
        <v>1</v>
      </c>
      <c r="AH197" s="12">
        <f t="shared" si="122"/>
        <v>1</v>
      </c>
      <c r="AI197" s="12">
        <f t="shared" si="123"/>
        <v>1</v>
      </c>
      <c r="AJ197" s="12">
        <f t="shared" si="124"/>
        <v>1</v>
      </c>
      <c r="AK197" s="12">
        <f t="shared" si="125"/>
        <v>1</v>
      </c>
      <c r="AL197" s="12">
        <f t="shared" si="126"/>
        <v>1</v>
      </c>
      <c r="AM197" s="12">
        <f t="shared" si="138"/>
        <v>1</v>
      </c>
      <c r="AN197" s="12">
        <f t="shared" si="139"/>
        <v>1</v>
      </c>
      <c r="AO197" s="12">
        <f t="shared" si="140"/>
        <v>1</v>
      </c>
      <c r="AP197" s="12">
        <f t="shared" si="141"/>
        <v>1</v>
      </c>
      <c r="AQ197" s="12">
        <f t="shared" si="142"/>
        <v>1</v>
      </c>
      <c r="AR197" s="12">
        <f t="shared" si="143"/>
        <v>1</v>
      </c>
      <c r="AS197" s="12" cm="1">
        <f t="array" ref="AS197">IF(AND(H197&lt;&gt;"",SUMPRODUCT(--ISNUMBER(FIND({0;1;2;3;4;5;6;7;8;9},H197)))=0),1,0)</f>
        <v>1</v>
      </c>
      <c r="AT197" s="12" cm="1">
        <f t="array" ref="AT197">IF(AND(I197&lt;&gt;"",SUMPRODUCT(--ISNUMBER(FIND({0;1;2;3;4;5;6;7;8;9},I197)))=0),1,0)</f>
        <v>1</v>
      </c>
      <c r="AU197" s="12" cm="1">
        <f t="array" ref="AU197">IF(AND(J197&lt;&gt;"",SUMPRODUCT(--ISNUMBER(FIND({0;1;2;3;4;5;6;7;8;9},J197)))=0),1,0)</f>
        <v>1</v>
      </c>
      <c r="AV197" s="12">
        <f t="shared" si="127"/>
        <v>1</v>
      </c>
      <c r="AW197" s="12">
        <f t="shared" ca="1" si="144"/>
        <v>1</v>
      </c>
      <c r="AX197" s="12">
        <f t="shared" si="145"/>
        <v>1</v>
      </c>
      <c r="AY197" s="12">
        <f t="shared" si="146"/>
        <v>1</v>
      </c>
      <c r="AZ197" s="12">
        <f t="shared" si="147"/>
        <v>1</v>
      </c>
      <c r="BA197" s="12">
        <f t="shared" si="148"/>
        <v>1</v>
      </c>
      <c r="BB197" s="12">
        <f t="shared" si="149"/>
        <v>1</v>
      </c>
      <c r="BC197" s="12">
        <f t="shared" ca="1" si="150"/>
        <v>1</v>
      </c>
      <c r="BD197" s="12">
        <f t="shared" si="151"/>
        <v>1</v>
      </c>
      <c r="BE197" s="12">
        <f t="shared" si="152"/>
        <v>1</v>
      </c>
      <c r="BF197" s="12">
        <f t="shared" si="153"/>
        <v>1</v>
      </c>
      <c r="BG197" s="12">
        <f t="shared" ca="1" si="154"/>
        <v>1</v>
      </c>
    </row>
    <row r="198" spans="1:59" ht="15.75" customHeight="1" x14ac:dyDescent="0.2">
      <c r="A198" s="19">
        <f t="shared" si="128"/>
        <v>1</v>
      </c>
      <c r="B198" s="20">
        <f t="shared" si="129"/>
        <v>1</v>
      </c>
      <c r="C198" s="20">
        <f t="shared" ca="1" si="130"/>
        <v>0</v>
      </c>
      <c r="D198" s="50">
        <f t="shared" ca="1" si="117"/>
        <v>1</v>
      </c>
      <c r="E198" s="11" t="s">
        <v>788</v>
      </c>
      <c r="F198" s="11" t="s">
        <v>149</v>
      </c>
      <c r="G198" s="11">
        <v>1000000197</v>
      </c>
      <c r="H198" s="11" t="s">
        <v>207</v>
      </c>
      <c r="I198" s="11" t="s">
        <v>200</v>
      </c>
      <c r="J198" s="11" t="s">
        <v>195</v>
      </c>
      <c r="K198" s="11" t="s">
        <v>141</v>
      </c>
      <c r="L198" s="70">
        <v>37933</v>
      </c>
      <c r="M198" s="11" t="s">
        <v>789</v>
      </c>
      <c r="N198" s="11">
        <v>3467226920</v>
      </c>
      <c r="O198" s="11" t="s">
        <v>790</v>
      </c>
      <c r="P198" s="11" t="s">
        <v>179</v>
      </c>
      <c r="Q198" s="11" t="s">
        <v>180</v>
      </c>
      <c r="R198" s="68">
        <v>46096</v>
      </c>
      <c r="S198" s="11" t="s">
        <v>146</v>
      </c>
      <c r="T198" s="11" t="s">
        <v>147</v>
      </c>
      <c r="U198" s="11">
        <v>85000</v>
      </c>
      <c r="V198" s="68">
        <v>46269</v>
      </c>
      <c r="W198" s="12">
        <f t="shared" si="131"/>
        <v>1</v>
      </c>
      <c r="X198" s="12">
        <f t="shared" si="132"/>
        <v>1</v>
      </c>
      <c r="Y198" s="12">
        <f t="shared" si="133"/>
        <v>1</v>
      </c>
      <c r="Z198" s="12">
        <f t="shared" si="134"/>
        <v>1</v>
      </c>
      <c r="AA198" s="12">
        <f t="shared" si="135"/>
        <v>1</v>
      </c>
      <c r="AB198" s="12">
        <f t="shared" si="136"/>
        <v>1</v>
      </c>
      <c r="AC198" s="12">
        <f t="shared" si="137"/>
        <v>1</v>
      </c>
      <c r="AD198" s="12">
        <f t="shared" si="118"/>
        <v>1</v>
      </c>
      <c r="AE198" s="12">
        <f t="shared" si="119"/>
        <v>1</v>
      </c>
      <c r="AF198" s="12">
        <f t="shared" si="120"/>
        <v>1</v>
      </c>
      <c r="AG198" s="12">
        <f t="shared" si="121"/>
        <v>1</v>
      </c>
      <c r="AH198" s="12">
        <f t="shared" si="122"/>
        <v>1</v>
      </c>
      <c r="AI198" s="12">
        <f t="shared" si="123"/>
        <v>1</v>
      </c>
      <c r="AJ198" s="12">
        <f t="shared" si="124"/>
        <v>1</v>
      </c>
      <c r="AK198" s="12">
        <f t="shared" si="125"/>
        <v>1</v>
      </c>
      <c r="AL198" s="12">
        <f t="shared" si="126"/>
        <v>1</v>
      </c>
      <c r="AM198" s="12">
        <f t="shared" si="138"/>
        <v>1</v>
      </c>
      <c r="AN198" s="12">
        <f t="shared" si="139"/>
        <v>1</v>
      </c>
      <c r="AO198" s="12">
        <f t="shared" si="140"/>
        <v>1</v>
      </c>
      <c r="AP198" s="12">
        <f t="shared" si="141"/>
        <v>1</v>
      </c>
      <c r="AQ198" s="12">
        <f t="shared" si="142"/>
        <v>1</v>
      </c>
      <c r="AR198" s="12">
        <f t="shared" si="143"/>
        <v>1</v>
      </c>
      <c r="AS198" s="12" cm="1">
        <f t="array" ref="AS198">IF(AND(H198&lt;&gt;"",SUMPRODUCT(--ISNUMBER(FIND({0;1;2;3;4;5;6;7;8;9},H198)))=0),1,0)</f>
        <v>1</v>
      </c>
      <c r="AT198" s="12" cm="1">
        <f t="array" ref="AT198">IF(AND(I198&lt;&gt;"",SUMPRODUCT(--ISNUMBER(FIND({0;1;2;3;4;5;6;7;8;9},I198)))=0),1,0)</f>
        <v>1</v>
      </c>
      <c r="AU198" s="12" cm="1">
        <f t="array" ref="AU198">IF(AND(J198&lt;&gt;"",SUMPRODUCT(--ISNUMBER(FIND({0;1;2;3;4;5;6;7;8;9},J198)))=0),1,0)</f>
        <v>1</v>
      </c>
      <c r="AV198" s="12">
        <f t="shared" si="127"/>
        <v>1</v>
      </c>
      <c r="AW198" s="12">
        <f t="shared" ca="1" si="144"/>
        <v>1</v>
      </c>
      <c r="AX198" s="12">
        <f t="shared" si="145"/>
        <v>1</v>
      </c>
      <c r="AY198" s="12">
        <f t="shared" si="146"/>
        <v>1</v>
      </c>
      <c r="AZ198" s="12">
        <f t="shared" si="147"/>
        <v>1</v>
      </c>
      <c r="BA198" s="12">
        <f t="shared" si="148"/>
        <v>1</v>
      </c>
      <c r="BB198" s="12">
        <f t="shared" si="149"/>
        <v>1</v>
      </c>
      <c r="BC198" s="12">
        <f t="shared" ca="1" si="150"/>
        <v>1</v>
      </c>
      <c r="BD198" s="12">
        <f t="shared" si="151"/>
        <v>1</v>
      </c>
      <c r="BE198" s="12">
        <f t="shared" si="152"/>
        <v>1</v>
      </c>
      <c r="BF198" s="12">
        <f t="shared" si="153"/>
        <v>1</v>
      </c>
      <c r="BG198" s="12">
        <f t="shared" ca="1" si="154"/>
        <v>0</v>
      </c>
    </row>
    <row r="199" spans="1:59" ht="15.75" customHeight="1" x14ac:dyDescent="0.2">
      <c r="A199" s="19">
        <f t="shared" si="128"/>
        <v>1</v>
      </c>
      <c r="B199" s="20">
        <f t="shared" si="129"/>
        <v>1</v>
      </c>
      <c r="C199" s="20">
        <f t="shared" ca="1" si="130"/>
        <v>1</v>
      </c>
      <c r="D199" s="50">
        <f t="shared" ca="1" si="117"/>
        <v>0</v>
      </c>
      <c r="E199" s="11" t="s">
        <v>791</v>
      </c>
      <c r="F199" s="11" t="s">
        <v>149</v>
      </c>
      <c r="G199" s="11">
        <v>1000000198</v>
      </c>
      <c r="H199" s="11" t="s">
        <v>251</v>
      </c>
      <c r="I199" s="11" t="s">
        <v>227</v>
      </c>
      <c r="J199" s="11" t="s">
        <v>168</v>
      </c>
      <c r="K199" s="11" t="s">
        <v>185</v>
      </c>
      <c r="L199" s="70">
        <v>34237</v>
      </c>
      <c r="M199" s="11" t="s">
        <v>792</v>
      </c>
      <c r="N199" s="11">
        <v>3580567946</v>
      </c>
      <c r="O199" s="11" t="s">
        <v>793</v>
      </c>
      <c r="P199" s="11" t="s">
        <v>155</v>
      </c>
      <c r="Q199" s="11" t="s">
        <v>156</v>
      </c>
      <c r="R199" s="68">
        <v>44699</v>
      </c>
      <c r="S199" s="11" t="s">
        <v>157</v>
      </c>
      <c r="T199" s="11" t="s">
        <v>166</v>
      </c>
      <c r="U199" s="11">
        <v>75000</v>
      </c>
      <c r="V199" s="68">
        <v>44874</v>
      </c>
      <c r="W199" s="12">
        <f t="shared" si="131"/>
        <v>1</v>
      </c>
      <c r="X199" s="12">
        <f t="shared" si="132"/>
        <v>1</v>
      </c>
      <c r="Y199" s="12">
        <f t="shared" si="133"/>
        <v>1</v>
      </c>
      <c r="Z199" s="12">
        <f t="shared" si="134"/>
        <v>1</v>
      </c>
      <c r="AA199" s="12">
        <f t="shared" si="135"/>
        <v>1</v>
      </c>
      <c r="AB199" s="12">
        <f t="shared" si="136"/>
        <v>1</v>
      </c>
      <c r="AC199" s="12">
        <f t="shared" si="137"/>
        <v>1</v>
      </c>
      <c r="AD199" s="12">
        <f t="shared" si="118"/>
        <v>1</v>
      </c>
      <c r="AE199" s="12">
        <f t="shared" si="119"/>
        <v>1</v>
      </c>
      <c r="AF199" s="12">
        <f t="shared" si="120"/>
        <v>1</v>
      </c>
      <c r="AG199" s="12">
        <f t="shared" si="121"/>
        <v>1</v>
      </c>
      <c r="AH199" s="12">
        <f t="shared" si="122"/>
        <v>1</v>
      </c>
      <c r="AI199" s="12">
        <f t="shared" si="123"/>
        <v>1</v>
      </c>
      <c r="AJ199" s="12">
        <f t="shared" si="124"/>
        <v>1</v>
      </c>
      <c r="AK199" s="12">
        <f t="shared" si="125"/>
        <v>1</v>
      </c>
      <c r="AL199" s="12">
        <f t="shared" si="126"/>
        <v>1</v>
      </c>
      <c r="AM199" s="12">
        <f t="shared" si="138"/>
        <v>1</v>
      </c>
      <c r="AN199" s="12">
        <f t="shared" si="139"/>
        <v>1</v>
      </c>
      <c r="AO199" s="12">
        <f t="shared" si="140"/>
        <v>1</v>
      </c>
      <c r="AP199" s="12">
        <f t="shared" si="141"/>
        <v>1</v>
      </c>
      <c r="AQ199" s="12">
        <f t="shared" si="142"/>
        <v>1</v>
      </c>
      <c r="AR199" s="12">
        <f t="shared" si="143"/>
        <v>1</v>
      </c>
      <c r="AS199" s="12" cm="1">
        <f t="array" ref="AS199">IF(AND(H199&lt;&gt;"",SUMPRODUCT(--ISNUMBER(FIND({0;1;2;3;4;5;6;7;8;9},H199)))=0),1,0)</f>
        <v>1</v>
      </c>
      <c r="AT199" s="12" cm="1">
        <f t="array" ref="AT199">IF(AND(I199&lt;&gt;"",SUMPRODUCT(--ISNUMBER(FIND({0;1;2;3;4;5;6;7;8;9},I199)))=0),1,0)</f>
        <v>1</v>
      </c>
      <c r="AU199" s="12" cm="1">
        <f t="array" ref="AU199">IF(AND(J199&lt;&gt;"",SUMPRODUCT(--ISNUMBER(FIND({0;1;2;3;4;5;6;7;8;9},J199)))=0),1,0)</f>
        <v>1</v>
      </c>
      <c r="AV199" s="12">
        <f t="shared" si="127"/>
        <v>1</v>
      </c>
      <c r="AW199" s="12">
        <f t="shared" ca="1" si="144"/>
        <v>1</v>
      </c>
      <c r="AX199" s="12">
        <f t="shared" si="145"/>
        <v>1</v>
      </c>
      <c r="AY199" s="12">
        <f t="shared" si="146"/>
        <v>1</v>
      </c>
      <c r="AZ199" s="12">
        <f t="shared" si="147"/>
        <v>1</v>
      </c>
      <c r="BA199" s="12">
        <f t="shared" si="148"/>
        <v>1</v>
      </c>
      <c r="BB199" s="12">
        <f t="shared" si="149"/>
        <v>1</v>
      </c>
      <c r="BC199" s="12">
        <f t="shared" ca="1" si="150"/>
        <v>1</v>
      </c>
      <c r="BD199" s="12">
        <f t="shared" si="151"/>
        <v>1</v>
      </c>
      <c r="BE199" s="12">
        <f t="shared" si="152"/>
        <v>1</v>
      </c>
      <c r="BF199" s="12">
        <f t="shared" si="153"/>
        <v>1</v>
      </c>
      <c r="BG199" s="12">
        <f t="shared" ca="1" si="154"/>
        <v>1</v>
      </c>
    </row>
    <row r="200" spans="1:59" ht="15.75" customHeight="1" x14ac:dyDescent="0.2">
      <c r="A200" s="19">
        <f t="shared" si="128"/>
        <v>1</v>
      </c>
      <c r="B200" s="20">
        <f t="shared" si="129"/>
        <v>1</v>
      </c>
      <c r="C200" s="20">
        <f t="shared" ca="1" si="130"/>
        <v>0</v>
      </c>
      <c r="D200" s="50">
        <f t="shared" ca="1" si="117"/>
        <v>1</v>
      </c>
      <c r="E200" s="11" t="s">
        <v>794</v>
      </c>
      <c r="F200" s="11" t="s">
        <v>149</v>
      </c>
      <c r="G200" s="11">
        <v>1000000199</v>
      </c>
      <c r="H200" s="11" t="s">
        <v>150</v>
      </c>
      <c r="I200" s="11" t="s">
        <v>184</v>
      </c>
      <c r="J200" s="11" t="s">
        <v>152</v>
      </c>
      <c r="K200" s="11" t="s">
        <v>141</v>
      </c>
      <c r="L200" s="70">
        <v>34203</v>
      </c>
      <c r="M200" s="11" t="s">
        <v>795</v>
      </c>
      <c r="N200" s="11">
        <v>3111996417</v>
      </c>
      <c r="O200" s="11" t="s">
        <v>796</v>
      </c>
      <c r="P200" s="11" t="s">
        <v>165</v>
      </c>
      <c r="Q200" s="11" t="s">
        <v>156</v>
      </c>
      <c r="R200" s="68">
        <v>46026</v>
      </c>
      <c r="S200" s="11" t="s">
        <v>146</v>
      </c>
      <c r="T200" s="11" t="s">
        <v>158</v>
      </c>
      <c r="U200" s="11">
        <v>90000</v>
      </c>
      <c r="V200" s="68">
        <v>46193</v>
      </c>
      <c r="W200" s="12">
        <f t="shared" si="131"/>
        <v>1</v>
      </c>
      <c r="X200" s="12">
        <f t="shared" si="132"/>
        <v>1</v>
      </c>
      <c r="Y200" s="12">
        <f t="shared" si="133"/>
        <v>1</v>
      </c>
      <c r="Z200" s="12">
        <f t="shared" si="134"/>
        <v>1</v>
      </c>
      <c r="AA200" s="12">
        <f t="shared" si="135"/>
        <v>1</v>
      </c>
      <c r="AB200" s="12">
        <f t="shared" si="136"/>
        <v>1</v>
      </c>
      <c r="AC200" s="12">
        <f t="shared" si="137"/>
        <v>1</v>
      </c>
      <c r="AD200" s="12">
        <f t="shared" si="118"/>
        <v>1</v>
      </c>
      <c r="AE200" s="12">
        <f t="shared" si="119"/>
        <v>1</v>
      </c>
      <c r="AF200" s="12">
        <f t="shared" si="120"/>
        <v>1</v>
      </c>
      <c r="AG200" s="12">
        <f t="shared" si="121"/>
        <v>1</v>
      </c>
      <c r="AH200" s="12">
        <f t="shared" si="122"/>
        <v>1</v>
      </c>
      <c r="AI200" s="12">
        <f t="shared" si="123"/>
        <v>1</v>
      </c>
      <c r="AJ200" s="12">
        <f t="shared" si="124"/>
        <v>1</v>
      </c>
      <c r="AK200" s="12">
        <f t="shared" si="125"/>
        <v>1</v>
      </c>
      <c r="AL200" s="12">
        <f t="shared" si="126"/>
        <v>1</v>
      </c>
      <c r="AM200" s="12">
        <f t="shared" si="138"/>
        <v>1</v>
      </c>
      <c r="AN200" s="12">
        <f t="shared" si="139"/>
        <v>1</v>
      </c>
      <c r="AO200" s="12">
        <f t="shared" si="140"/>
        <v>1</v>
      </c>
      <c r="AP200" s="12">
        <f t="shared" si="141"/>
        <v>1</v>
      </c>
      <c r="AQ200" s="12">
        <f t="shared" si="142"/>
        <v>1</v>
      </c>
      <c r="AR200" s="12">
        <f t="shared" si="143"/>
        <v>1</v>
      </c>
      <c r="AS200" s="12" cm="1">
        <f t="array" ref="AS200">IF(AND(H200&lt;&gt;"",SUMPRODUCT(--ISNUMBER(FIND({0;1;2;3;4;5;6;7;8;9},H200)))=0),1,0)</f>
        <v>1</v>
      </c>
      <c r="AT200" s="12" cm="1">
        <f t="array" ref="AT200">IF(AND(I200&lt;&gt;"",SUMPRODUCT(--ISNUMBER(FIND({0;1;2;3;4;5;6;7;8;9},I200)))=0),1,0)</f>
        <v>1</v>
      </c>
      <c r="AU200" s="12" cm="1">
        <f t="array" ref="AU200">IF(AND(J200&lt;&gt;"",SUMPRODUCT(--ISNUMBER(FIND({0;1;2;3;4;5;6;7;8;9},J200)))=0),1,0)</f>
        <v>1</v>
      </c>
      <c r="AV200" s="12">
        <f t="shared" si="127"/>
        <v>1</v>
      </c>
      <c r="AW200" s="12">
        <f t="shared" ca="1" si="144"/>
        <v>1</v>
      </c>
      <c r="AX200" s="12">
        <f t="shared" si="145"/>
        <v>1</v>
      </c>
      <c r="AY200" s="12">
        <f t="shared" si="146"/>
        <v>1</v>
      </c>
      <c r="AZ200" s="12">
        <f t="shared" si="147"/>
        <v>1</v>
      </c>
      <c r="BA200" s="12">
        <f t="shared" si="148"/>
        <v>1</v>
      </c>
      <c r="BB200" s="12">
        <f t="shared" si="149"/>
        <v>1</v>
      </c>
      <c r="BC200" s="12">
        <f t="shared" ca="1" si="150"/>
        <v>1</v>
      </c>
      <c r="BD200" s="12">
        <f t="shared" si="151"/>
        <v>1</v>
      </c>
      <c r="BE200" s="12">
        <f t="shared" si="152"/>
        <v>1</v>
      </c>
      <c r="BF200" s="12">
        <f t="shared" si="153"/>
        <v>1</v>
      </c>
      <c r="BG200" s="12">
        <f t="shared" ca="1" si="154"/>
        <v>0</v>
      </c>
    </row>
    <row r="201" spans="1:59" ht="15.75" customHeight="1" x14ac:dyDescent="0.2">
      <c r="A201" s="19">
        <f t="shared" si="128"/>
        <v>1</v>
      </c>
      <c r="B201" s="20">
        <f t="shared" si="129"/>
        <v>1</v>
      </c>
      <c r="C201" s="20">
        <f t="shared" ca="1" si="130"/>
        <v>0</v>
      </c>
      <c r="D201" s="50">
        <f t="shared" ca="1" si="117"/>
        <v>1</v>
      </c>
      <c r="E201" s="11" t="s">
        <v>797</v>
      </c>
      <c r="F201" s="11" t="s">
        <v>149</v>
      </c>
      <c r="G201" s="11">
        <v>1000000200</v>
      </c>
      <c r="H201" s="11" t="s">
        <v>220</v>
      </c>
      <c r="I201" s="11" t="s">
        <v>151</v>
      </c>
      <c r="J201" s="11" t="s">
        <v>231</v>
      </c>
      <c r="K201" s="11" t="s">
        <v>141</v>
      </c>
      <c r="L201" s="70">
        <v>25119</v>
      </c>
      <c r="M201" s="11" t="s">
        <v>798</v>
      </c>
      <c r="N201" s="11">
        <v>12345</v>
      </c>
      <c r="O201" s="11" t="s">
        <v>799</v>
      </c>
      <c r="P201" s="11" t="s">
        <v>172</v>
      </c>
      <c r="Q201" s="11" t="s">
        <v>173</v>
      </c>
      <c r="R201" s="68">
        <v>45334</v>
      </c>
      <c r="S201" s="11" t="s">
        <v>146</v>
      </c>
      <c r="T201" s="11" t="s">
        <v>147</v>
      </c>
      <c r="U201" s="11">
        <v>85000</v>
      </c>
      <c r="V201" s="68">
        <v>45342</v>
      </c>
      <c r="W201" s="12">
        <f t="shared" si="131"/>
        <v>1</v>
      </c>
      <c r="X201" s="12">
        <f t="shared" si="132"/>
        <v>1</v>
      </c>
      <c r="Y201" s="12">
        <f t="shared" si="133"/>
        <v>1</v>
      </c>
      <c r="Z201" s="12">
        <f t="shared" si="134"/>
        <v>1</v>
      </c>
      <c r="AA201" s="12">
        <f t="shared" si="135"/>
        <v>1</v>
      </c>
      <c r="AB201" s="12">
        <f t="shared" si="136"/>
        <v>1</v>
      </c>
      <c r="AC201" s="12">
        <f t="shared" si="137"/>
        <v>1</v>
      </c>
      <c r="AD201" s="12">
        <f t="shared" si="118"/>
        <v>1</v>
      </c>
      <c r="AE201" s="12">
        <f t="shared" si="119"/>
        <v>1</v>
      </c>
      <c r="AF201" s="12">
        <f t="shared" si="120"/>
        <v>1</v>
      </c>
      <c r="AG201" s="12">
        <f t="shared" si="121"/>
        <v>1</v>
      </c>
      <c r="AH201" s="12">
        <f t="shared" si="122"/>
        <v>1</v>
      </c>
      <c r="AI201" s="12">
        <f t="shared" si="123"/>
        <v>1</v>
      </c>
      <c r="AJ201" s="12">
        <f t="shared" si="124"/>
        <v>1</v>
      </c>
      <c r="AK201" s="12">
        <f t="shared" si="125"/>
        <v>1</v>
      </c>
      <c r="AL201" s="12">
        <f t="shared" si="126"/>
        <v>1</v>
      </c>
      <c r="AM201" s="12">
        <f t="shared" si="138"/>
        <v>1</v>
      </c>
      <c r="AN201" s="12">
        <f t="shared" si="139"/>
        <v>1</v>
      </c>
      <c r="AO201" s="12">
        <f t="shared" si="140"/>
        <v>1</v>
      </c>
      <c r="AP201" s="12">
        <f t="shared" si="141"/>
        <v>1</v>
      </c>
      <c r="AQ201" s="12">
        <f t="shared" si="142"/>
        <v>1</v>
      </c>
      <c r="AR201" s="12">
        <f t="shared" si="143"/>
        <v>1</v>
      </c>
      <c r="AS201" s="12" cm="1">
        <f t="array" ref="AS201">IF(AND(H201&lt;&gt;"",SUMPRODUCT(--ISNUMBER(FIND({0;1;2;3;4;5;6;7;8;9},H201)))=0),1,0)</f>
        <v>1</v>
      </c>
      <c r="AT201" s="12" cm="1">
        <f t="array" ref="AT201">IF(AND(I201&lt;&gt;"",SUMPRODUCT(--ISNUMBER(FIND({0;1;2;3;4;5;6;7;8;9},I201)))=0),1,0)</f>
        <v>1</v>
      </c>
      <c r="AU201" s="12" cm="1">
        <f t="array" ref="AU201">IF(AND(J201&lt;&gt;"",SUMPRODUCT(--ISNUMBER(FIND({0;1;2;3;4;5;6;7;8;9},J201)))=0),1,0)</f>
        <v>1</v>
      </c>
      <c r="AV201" s="12">
        <f t="shared" si="127"/>
        <v>1</v>
      </c>
      <c r="AW201" s="12">
        <f t="shared" ca="1" si="144"/>
        <v>1</v>
      </c>
      <c r="AX201" s="12">
        <f t="shared" si="145"/>
        <v>1</v>
      </c>
      <c r="AY201" s="12">
        <f t="shared" si="146"/>
        <v>0</v>
      </c>
      <c r="AZ201" s="12">
        <f t="shared" si="147"/>
        <v>1</v>
      </c>
      <c r="BA201" s="12">
        <f t="shared" si="148"/>
        <v>1</v>
      </c>
      <c r="BB201" s="12">
        <f t="shared" si="149"/>
        <v>1</v>
      </c>
      <c r="BC201" s="12">
        <f t="shared" ca="1" si="150"/>
        <v>1</v>
      </c>
      <c r="BD201" s="12">
        <f t="shared" si="151"/>
        <v>1</v>
      </c>
      <c r="BE201" s="12">
        <f t="shared" si="152"/>
        <v>1</v>
      </c>
      <c r="BF201" s="12">
        <f t="shared" si="153"/>
        <v>1</v>
      </c>
      <c r="BG201" s="12">
        <f t="shared" ca="1" si="154"/>
        <v>1</v>
      </c>
    </row>
  </sheetData>
  <autoFilter ref="A1:BG201" xr:uid="{07190530-3AEB-4CCF-9ADD-1554B847B945}"/>
  <conditionalFormatting sqref="W2:BG201">
    <cfRule type="cellIs" dxfId="1" priority="1" stopIfTrue="1" operator="equal">
      <formula>1</formula>
    </cfRule>
    <cfRule type="cellIs" dxfId="0" priority="2" stopIfTrue="1" operator="equal">
      <formula>0</formula>
    </cfRule>
  </conditionalFormatting>
  <pageMargins left="0.7" right="0.7" top="0.75" bottom="0.75" header="0.3" footer="0.3"/>
  <ignoredErrors>
    <ignoredError sqref="AW2:AW20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772F-BD96-47AF-8881-80693760B543}">
  <dimension ref="A1:P91"/>
  <sheetViews>
    <sheetView workbookViewId="0">
      <selection activeCell="I14" sqref="I14"/>
    </sheetView>
  </sheetViews>
  <sheetFormatPr baseColWidth="10" defaultColWidth="8.83203125" defaultRowHeight="13" x14ac:dyDescent="0.15"/>
  <cols>
    <col min="1" max="1" width="13" customWidth="1"/>
    <col min="2" max="2" width="17.5" customWidth="1"/>
    <col min="3" max="3" width="13.5" customWidth="1"/>
    <col min="4" max="4" width="17.5" customWidth="1"/>
    <col min="5" max="5" width="8.5" bestFit="1" customWidth="1"/>
    <col min="6" max="6" width="27.33203125" bestFit="1" customWidth="1"/>
    <col min="9" max="9" width="12.5" customWidth="1"/>
    <col min="10" max="10" width="13.33203125" customWidth="1"/>
    <col min="13" max="13" width="7.6640625" bestFit="1" customWidth="1"/>
    <col min="16" max="16" width="2.1640625" bestFit="1" customWidth="1"/>
  </cols>
  <sheetData>
    <row r="1" spans="1:16" ht="33.75" customHeight="1" x14ac:dyDescent="0.2">
      <c r="A1" s="51" t="s">
        <v>39</v>
      </c>
      <c r="B1" s="51" t="s">
        <v>40</v>
      </c>
      <c r="C1" s="51" t="s">
        <v>41</v>
      </c>
      <c r="D1" s="52" t="s">
        <v>44</v>
      </c>
      <c r="E1" s="53" t="s">
        <v>37</v>
      </c>
      <c r="F1" s="53" t="s">
        <v>36</v>
      </c>
      <c r="G1" s="53" t="s">
        <v>38</v>
      </c>
      <c r="H1" s="54" t="s">
        <v>45</v>
      </c>
      <c r="I1" s="54" t="s">
        <v>46</v>
      </c>
      <c r="J1" s="55" t="s">
        <v>47</v>
      </c>
      <c r="K1" s="55" t="s">
        <v>48</v>
      </c>
      <c r="L1" s="56" t="s">
        <v>49</v>
      </c>
      <c r="M1" s="57"/>
      <c r="N1" s="57"/>
      <c r="O1" s="57"/>
      <c r="P1" s="57"/>
    </row>
    <row r="2" spans="1:16" ht="15" x14ac:dyDescent="0.2">
      <c r="A2" s="58">
        <v>1</v>
      </c>
      <c r="B2" s="59">
        <v>1</v>
      </c>
      <c r="C2" s="59">
        <v>1</v>
      </c>
      <c r="D2" s="60">
        <v>0</v>
      </c>
      <c r="E2" s="61" t="s">
        <v>50</v>
      </c>
      <c r="F2" s="61" t="s">
        <v>51</v>
      </c>
      <c r="G2" s="61" t="s">
        <v>43</v>
      </c>
      <c r="H2" s="62">
        <v>1</v>
      </c>
      <c r="I2" s="62">
        <v>1</v>
      </c>
      <c r="J2" s="62">
        <v>1</v>
      </c>
      <c r="K2" s="62">
        <v>1</v>
      </c>
      <c r="L2" s="62">
        <v>1</v>
      </c>
      <c r="M2" s="63"/>
      <c r="N2" s="63"/>
      <c r="O2" s="63"/>
      <c r="P2" s="63"/>
    </row>
    <row r="3" spans="1:16" ht="15" x14ac:dyDescent="0.2">
      <c r="A3" s="58">
        <v>1</v>
      </c>
      <c r="B3" s="59">
        <v>1</v>
      </c>
      <c r="C3" s="59">
        <v>1</v>
      </c>
      <c r="D3" s="60">
        <v>0</v>
      </c>
      <c r="E3" s="61" t="s">
        <v>52</v>
      </c>
      <c r="F3" s="61" t="s">
        <v>53</v>
      </c>
      <c r="G3" s="61" t="s">
        <v>43</v>
      </c>
      <c r="H3" s="62">
        <v>1</v>
      </c>
      <c r="I3" s="62">
        <v>1</v>
      </c>
      <c r="J3" s="62">
        <v>1</v>
      </c>
      <c r="K3" s="62">
        <v>1</v>
      </c>
      <c r="L3" s="62">
        <v>1</v>
      </c>
      <c r="M3" s="63"/>
      <c r="N3" s="63"/>
      <c r="O3" s="63"/>
      <c r="P3" s="63"/>
    </row>
    <row r="4" spans="1:16" ht="15" x14ac:dyDescent="0.2">
      <c r="A4" s="58">
        <v>1</v>
      </c>
      <c r="B4" s="59">
        <v>1</v>
      </c>
      <c r="C4" s="59">
        <v>1</v>
      </c>
      <c r="D4" s="60">
        <v>0</v>
      </c>
      <c r="E4" s="61" t="s">
        <v>54</v>
      </c>
      <c r="F4" s="61" t="s">
        <v>55</v>
      </c>
      <c r="G4" s="61" t="s">
        <v>43</v>
      </c>
      <c r="H4" s="62">
        <v>1</v>
      </c>
      <c r="I4" s="62">
        <v>1</v>
      </c>
      <c r="J4" s="62">
        <v>1</v>
      </c>
      <c r="K4" s="62">
        <v>1</v>
      </c>
      <c r="L4" s="62">
        <v>1</v>
      </c>
      <c r="M4" s="63"/>
      <c r="N4" s="63"/>
      <c r="O4" s="63"/>
      <c r="P4" s="63"/>
    </row>
    <row r="5" spans="1:16" ht="15" x14ac:dyDescent="0.2">
      <c r="A5" s="58">
        <v>1</v>
      </c>
      <c r="B5" s="59">
        <v>1</v>
      </c>
      <c r="C5" s="59">
        <v>1</v>
      </c>
      <c r="D5" s="60">
        <v>0</v>
      </c>
      <c r="E5" s="61" t="s">
        <v>56</v>
      </c>
      <c r="F5" s="61" t="s">
        <v>57</v>
      </c>
      <c r="G5" s="61" t="s">
        <v>43</v>
      </c>
      <c r="H5" s="62">
        <v>1</v>
      </c>
      <c r="I5" s="62">
        <v>1</v>
      </c>
      <c r="J5" s="62">
        <v>1</v>
      </c>
      <c r="K5" s="62">
        <v>1</v>
      </c>
      <c r="L5" s="62">
        <v>1</v>
      </c>
      <c r="M5" s="63"/>
      <c r="N5" s="63"/>
      <c r="O5" s="63"/>
      <c r="P5" s="63"/>
    </row>
    <row r="6" spans="1:16" ht="15" x14ac:dyDescent="0.2">
      <c r="A6" s="58">
        <v>1</v>
      </c>
      <c r="B6" s="59">
        <v>1</v>
      </c>
      <c r="C6" s="59">
        <v>1</v>
      </c>
      <c r="D6" s="60">
        <v>0</v>
      </c>
      <c r="E6" s="61" t="s">
        <v>58</v>
      </c>
      <c r="F6" s="61" t="s">
        <v>59</v>
      </c>
      <c r="G6" s="61" t="s">
        <v>43</v>
      </c>
      <c r="H6" s="62">
        <v>1</v>
      </c>
      <c r="I6" s="62">
        <v>1</v>
      </c>
      <c r="J6" s="62">
        <v>1</v>
      </c>
      <c r="K6" s="62">
        <v>1</v>
      </c>
      <c r="L6" s="62">
        <v>1</v>
      </c>
      <c r="M6" s="63"/>
      <c r="N6" s="63"/>
      <c r="O6" s="63"/>
      <c r="P6" s="63"/>
    </row>
    <row r="7" spans="1:16" ht="15" x14ac:dyDescent="0.2">
      <c r="A7" s="58">
        <v>1</v>
      </c>
      <c r="B7" s="59">
        <v>1</v>
      </c>
      <c r="C7" s="59">
        <v>1</v>
      </c>
      <c r="D7" s="60">
        <v>0</v>
      </c>
      <c r="E7" s="61" t="s">
        <v>60</v>
      </c>
      <c r="F7" s="61" t="s">
        <v>61</v>
      </c>
      <c r="G7" s="61" t="s">
        <v>43</v>
      </c>
      <c r="H7" s="62">
        <v>1</v>
      </c>
      <c r="I7" s="62">
        <v>1</v>
      </c>
      <c r="J7" s="62">
        <v>1</v>
      </c>
      <c r="K7" s="62">
        <v>1</v>
      </c>
      <c r="L7" s="62">
        <v>1</v>
      </c>
      <c r="M7" s="63"/>
      <c r="N7" s="63"/>
      <c r="O7" s="63"/>
      <c r="P7" s="63"/>
    </row>
    <row r="8" spans="1:16" ht="15" x14ac:dyDescent="0.2">
      <c r="A8" s="58">
        <v>1</v>
      </c>
      <c r="B8" s="59">
        <v>1</v>
      </c>
      <c r="C8" s="59">
        <v>1</v>
      </c>
      <c r="D8" s="60">
        <v>0</v>
      </c>
      <c r="E8" s="61" t="s">
        <v>62</v>
      </c>
      <c r="F8" s="61" t="s">
        <v>63</v>
      </c>
      <c r="G8" s="61" t="s">
        <v>43</v>
      </c>
      <c r="H8" s="62">
        <v>1</v>
      </c>
      <c r="I8" s="62">
        <v>1</v>
      </c>
      <c r="J8" s="62">
        <v>1</v>
      </c>
      <c r="K8" s="62">
        <v>1</v>
      </c>
      <c r="L8" s="62">
        <v>1</v>
      </c>
      <c r="M8" s="63"/>
      <c r="N8" s="63"/>
      <c r="O8" s="63"/>
      <c r="P8" s="63"/>
    </row>
    <row r="9" spans="1:16" ht="15" x14ac:dyDescent="0.2">
      <c r="A9" s="58">
        <v>1</v>
      </c>
      <c r="B9" s="59">
        <v>1</v>
      </c>
      <c r="C9" s="59">
        <v>1</v>
      </c>
      <c r="D9" s="60">
        <v>0</v>
      </c>
      <c r="E9" s="61" t="s">
        <v>64</v>
      </c>
      <c r="F9" s="61" t="s">
        <v>65</v>
      </c>
      <c r="G9" s="61" t="s">
        <v>43</v>
      </c>
      <c r="H9" s="62">
        <v>1</v>
      </c>
      <c r="I9" s="62">
        <v>1</v>
      </c>
      <c r="J9" s="62">
        <v>1</v>
      </c>
      <c r="K9" s="62">
        <v>1</v>
      </c>
      <c r="L9" s="62">
        <v>1</v>
      </c>
      <c r="M9" s="63"/>
      <c r="N9" s="63"/>
      <c r="O9" s="63"/>
      <c r="P9" s="63"/>
    </row>
    <row r="10" spans="1:16" ht="15" x14ac:dyDescent="0.2">
      <c r="A10" s="58">
        <v>1</v>
      </c>
      <c r="B10" s="59">
        <v>1</v>
      </c>
      <c r="C10" s="59">
        <v>1</v>
      </c>
      <c r="D10" s="60">
        <v>0</v>
      </c>
      <c r="E10" s="61" t="s">
        <v>66</v>
      </c>
      <c r="F10" s="61" t="s">
        <v>67</v>
      </c>
      <c r="G10" s="61" t="s">
        <v>43</v>
      </c>
      <c r="H10" s="62">
        <v>1</v>
      </c>
      <c r="I10" s="62">
        <v>1</v>
      </c>
      <c r="J10" s="62">
        <v>1</v>
      </c>
      <c r="K10" s="62">
        <v>1</v>
      </c>
      <c r="L10" s="62">
        <v>1</v>
      </c>
      <c r="M10" s="63"/>
      <c r="N10" s="63"/>
      <c r="O10" s="63"/>
      <c r="P10" s="63"/>
    </row>
    <row r="11" spans="1:16" ht="15" x14ac:dyDescent="0.2">
      <c r="A11" s="58">
        <v>1</v>
      </c>
      <c r="B11" s="59">
        <v>1</v>
      </c>
      <c r="C11" s="59">
        <v>1</v>
      </c>
      <c r="D11" s="60">
        <v>0</v>
      </c>
      <c r="E11" s="61" t="s">
        <v>68</v>
      </c>
      <c r="F11" s="61" t="s">
        <v>69</v>
      </c>
      <c r="G11" s="61" t="s">
        <v>43</v>
      </c>
      <c r="H11" s="62">
        <v>1</v>
      </c>
      <c r="I11" s="62">
        <v>1</v>
      </c>
      <c r="J11" s="62">
        <v>1</v>
      </c>
      <c r="K11" s="62">
        <v>1</v>
      </c>
      <c r="L11" s="62">
        <v>1</v>
      </c>
      <c r="M11" s="63"/>
      <c r="N11" s="63"/>
      <c r="O11" s="63"/>
      <c r="P11" s="63"/>
    </row>
    <row r="12" spans="1:16" ht="15" x14ac:dyDescent="0.2">
      <c r="A12" s="58">
        <v>1</v>
      </c>
      <c r="B12" s="59">
        <v>1</v>
      </c>
      <c r="C12" s="59">
        <v>1</v>
      </c>
      <c r="D12" s="60">
        <v>0</v>
      </c>
      <c r="E12" s="61" t="s">
        <v>70</v>
      </c>
      <c r="F12" s="61" t="s">
        <v>71</v>
      </c>
      <c r="G12" s="61" t="s">
        <v>43</v>
      </c>
      <c r="H12" s="62">
        <v>1</v>
      </c>
      <c r="I12" s="62">
        <v>1</v>
      </c>
      <c r="J12" s="62">
        <v>1</v>
      </c>
      <c r="K12" s="62">
        <v>1</v>
      </c>
      <c r="L12" s="62">
        <v>1</v>
      </c>
      <c r="M12" s="63"/>
      <c r="N12" s="63"/>
      <c r="O12" s="63"/>
      <c r="P12" s="63"/>
    </row>
    <row r="13" spans="1:16" ht="15" x14ac:dyDescent="0.2">
      <c r="A13" s="58">
        <v>1</v>
      </c>
      <c r="B13" s="59">
        <v>1</v>
      </c>
      <c r="C13" s="59">
        <v>1</v>
      </c>
      <c r="D13" s="60">
        <v>0</v>
      </c>
      <c r="E13" s="61" t="s">
        <v>72</v>
      </c>
      <c r="F13" s="61" t="s">
        <v>73</v>
      </c>
      <c r="G13" s="61" t="s">
        <v>43</v>
      </c>
      <c r="H13" s="62">
        <v>1</v>
      </c>
      <c r="I13" s="62">
        <v>1</v>
      </c>
      <c r="J13" s="62">
        <v>1</v>
      </c>
      <c r="K13" s="62">
        <v>1</v>
      </c>
      <c r="L13" s="62">
        <v>1</v>
      </c>
      <c r="M13" s="63"/>
      <c r="N13" s="63"/>
      <c r="O13" s="63"/>
      <c r="P13" s="63"/>
    </row>
    <row r="14" spans="1:16" ht="15" x14ac:dyDescent="0.2">
      <c r="A14" s="58">
        <v>1</v>
      </c>
      <c r="B14" s="59">
        <v>1</v>
      </c>
      <c r="C14" s="59">
        <v>1</v>
      </c>
      <c r="D14" s="60">
        <v>0</v>
      </c>
      <c r="E14" s="61" t="s">
        <v>74</v>
      </c>
      <c r="F14" s="61" t="s">
        <v>75</v>
      </c>
      <c r="G14" s="61" t="s">
        <v>43</v>
      </c>
      <c r="H14" s="62">
        <v>1</v>
      </c>
      <c r="I14" s="62">
        <v>1</v>
      </c>
      <c r="J14" s="62">
        <v>1</v>
      </c>
      <c r="K14" s="62">
        <v>1</v>
      </c>
      <c r="L14" s="62">
        <v>1</v>
      </c>
      <c r="M14" s="63"/>
      <c r="N14" s="63"/>
      <c r="O14" s="63"/>
      <c r="P14" s="63"/>
    </row>
    <row r="15" spans="1:16" ht="15" x14ac:dyDescent="0.2">
      <c r="A15" s="58">
        <v>1</v>
      </c>
      <c r="B15" s="59">
        <v>1</v>
      </c>
      <c r="C15" s="59">
        <v>1</v>
      </c>
      <c r="D15" s="60">
        <v>0</v>
      </c>
      <c r="E15" s="61" t="s">
        <v>76</v>
      </c>
      <c r="F15" s="61" t="s">
        <v>77</v>
      </c>
      <c r="G15" s="61" t="s">
        <v>43</v>
      </c>
      <c r="H15" s="62">
        <v>1</v>
      </c>
      <c r="I15" s="62">
        <v>1</v>
      </c>
      <c r="J15" s="62">
        <v>1</v>
      </c>
      <c r="K15" s="62">
        <v>1</v>
      </c>
      <c r="L15" s="62">
        <v>1</v>
      </c>
      <c r="M15" s="63"/>
      <c r="N15" s="63"/>
      <c r="O15" s="63"/>
      <c r="P15" s="63"/>
    </row>
    <row r="16" spans="1:16" ht="15" x14ac:dyDescent="0.2">
      <c r="A16" s="58">
        <v>1</v>
      </c>
      <c r="B16" s="59">
        <v>1</v>
      </c>
      <c r="C16" s="59">
        <v>1</v>
      </c>
      <c r="D16" s="60">
        <v>0</v>
      </c>
      <c r="E16" s="61" t="s">
        <v>78</v>
      </c>
      <c r="F16" s="61" t="s">
        <v>79</v>
      </c>
      <c r="G16" s="61" t="s">
        <v>43</v>
      </c>
      <c r="H16" s="62">
        <v>1</v>
      </c>
      <c r="I16" s="62">
        <v>1</v>
      </c>
      <c r="J16" s="62">
        <v>1</v>
      </c>
      <c r="K16" s="62">
        <v>1</v>
      </c>
      <c r="L16" s="62">
        <v>1</v>
      </c>
      <c r="M16" s="63"/>
      <c r="N16" s="63"/>
      <c r="O16" s="63"/>
      <c r="P16" s="63"/>
    </row>
    <row r="17" spans="1:16" ht="15" x14ac:dyDescent="0.2">
      <c r="A17" s="58">
        <v>1</v>
      </c>
      <c r="B17" s="59">
        <v>1</v>
      </c>
      <c r="C17" s="59">
        <v>1</v>
      </c>
      <c r="D17" s="60">
        <v>0</v>
      </c>
      <c r="E17" s="61" t="s">
        <v>80</v>
      </c>
      <c r="F17" s="61" t="s">
        <v>81</v>
      </c>
      <c r="G17" s="61" t="s">
        <v>43</v>
      </c>
      <c r="H17" s="62">
        <v>1</v>
      </c>
      <c r="I17" s="62">
        <v>1</v>
      </c>
      <c r="J17" s="62">
        <v>1</v>
      </c>
      <c r="K17" s="62">
        <v>1</v>
      </c>
      <c r="L17" s="62">
        <v>1</v>
      </c>
      <c r="M17" s="63"/>
      <c r="N17" s="63"/>
      <c r="O17" s="63"/>
      <c r="P17" s="63"/>
    </row>
    <row r="18" spans="1:16" ht="15" x14ac:dyDescent="0.2">
      <c r="A18" s="58">
        <v>1</v>
      </c>
      <c r="B18" s="59">
        <v>1</v>
      </c>
      <c r="C18" s="59">
        <v>1</v>
      </c>
      <c r="D18" s="60">
        <v>0</v>
      </c>
      <c r="E18" s="61" t="s">
        <v>82</v>
      </c>
      <c r="F18" s="61" t="s">
        <v>83</v>
      </c>
      <c r="G18" s="61" t="s">
        <v>43</v>
      </c>
      <c r="H18" s="62">
        <v>1</v>
      </c>
      <c r="I18" s="62">
        <v>1</v>
      </c>
      <c r="J18" s="62">
        <v>1</v>
      </c>
      <c r="K18" s="62">
        <v>1</v>
      </c>
      <c r="L18" s="62">
        <v>1</v>
      </c>
      <c r="M18" s="63"/>
      <c r="N18" s="63"/>
      <c r="O18" s="63"/>
      <c r="P18" s="63">
        <v>0</v>
      </c>
    </row>
    <row r="19" spans="1:16" ht="15" x14ac:dyDescent="0.2">
      <c r="A19" s="58">
        <v>1</v>
      </c>
      <c r="B19" s="59">
        <v>1</v>
      </c>
      <c r="C19" s="59">
        <v>1</v>
      </c>
      <c r="D19" s="60">
        <v>0</v>
      </c>
      <c r="E19" s="61" t="s">
        <v>84</v>
      </c>
      <c r="F19" s="61" t="s">
        <v>85</v>
      </c>
      <c r="G19" s="61" t="s">
        <v>43</v>
      </c>
      <c r="H19" s="62">
        <v>1</v>
      </c>
      <c r="I19" s="62">
        <v>1</v>
      </c>
      <c r="J19" s="62">
        <v>1</v>
      </c>
      <c r="K19" s="62">
        <v>1</v>
      </c>
      <c r="L19" s="62">
        <v>1</v>
      </c>
      <c r="M19" s="63"/>
      <c r="N19" s="63"/>
      <c r="O19" s="63"/>
      <c r="P19" s="63"/>
    </row>
    <row r="20" spans="1:16" ht="15" x14ac:dyDescent="0.2">
      <c r="A20" s="58">
        <v>1</v>
      </c>
      <c r="B20" s="59">
        <v>1</v>
      </c>
      <c r="C20" s="59">
        <v>1</v>
      </c>
      <c r="D20" s="60">
        <v>0</v>
      </c>
      <c r="E20" s="61" t="s">
        <v>86</v>
      </c>
      <c r="F20" s="61" t="s">
        <v>87</v>
      </c>
      <c r="G20" s="61" t="s">
        <v>43</v>
      </c>
      <c r="H20" s="62">
        <v>1</v>
      </c>
      <c r="I20" s="62">
        <v>1</v>
      </c>
      <c r="J20" s="62">
        <v>1</v>
      </c>
      <c r="K20" s="62">
        <v>1</v>
      </c>
      <c r="L20" s="62">
        <v>1</v>
      </c>
      <c r="M20" s="63"/>
      <c r="N20" s="63"/>
      <c r="O20" s="63"/>
      <c r="P20" s="63"/>
    </row>
    <row r="21" spans="1:16" ht="15" x14ac:dyDescent="0.2">
      <c r="A21" s="58">
        <v>1</v>
      </c>
      <c r="B21" s="59">
        <v>1</v>
      </c>
      <c r="C21" s="59">
        <v>1</v>
      </c>
      <c r="D21" s="60">
        <v>0</v>
      </c>
      <c r="E21" s="61" t="s">
        <v>88</v>
      </c>
      <c r="F21" s="61" t="s">
        <v>89</v>
      </c>
      <c r="G21" s="61" t="s">
        <v>43</v>
      </c>
      <c r="H21" s="62">
        <v>1</v>
      </c>
      <c r="I21" s="62">
        <v>1</v>
      </c>
      <c r="J21" s="62">
        <v>1</v>
      </c>
      <c r="K21" s="62">
        <v>1</v>
      </c>
      <c r="L21" s="62">
        <v>1</v>
      </c>
      <c r="M21" s="63"/>
      <c r="N21" s="63"/>
      <c r="O21" s="63"/>
      <c r="P21" s="63"/>
    </row>
    <row r="22" spans="1:16" ht="15" x14ac:dyDescent="0.2">
      <c r="A22" s="58">
        <v>1</v>
      </c>
      <c r="B22" s="59">
        <v>1</v>
      </c>
      <c r="C22" s="59">
        <v>1</v>
      </c>
      <c r="D22" s="60">
        <v>0</v>
      </c>
      <c r="E22" s="61" t="s">
        <v>90</v>
      </c>
      <c r="F22" s="61" t="s">
        <v>91</v>
      </c>
      <c r="G22" s="61" t="s">
        <v>43</v>
      </c>
      <c r="H22" s="62">
        <v>1</v>
      </c>
      <c r="I22" s="62">
        <v>1</v>
      </c>
      <c r="J22" s="62">
        <v>1</v>
      </c>
      <c r="K22" s="62">
        <v>1</v>
      </c>
      <c r="L22" s="62">
        <v>1</v>
      </c>
      <c r="M22" s="63"/>
      <c r="N22" s="63"/>
      <c r="O22" s="63"/>
      <c r="P22" s="63"/>
    </row>
    <row r="23" spans="1:16" ht="15" x14ac:dyDescent="0.2">
      <c r="A23" s="58">
        <v>1</v>
      </c>
      <c r="B23" s="59">
        <v>1</v>
      </c>
      <c r="C23" s="59">
        <v>1</v>
      </c>
      <c r="D23" s="60">
        <v>0</v>
      </c>
      <c r="E23" s="61" t="s">
        <v>92</v>
      </c>
      <c r="F23" s="61" t="s">
        <v>93</v>
      </c>
      <c r="G23" s="61" t="s">
        <v>43</v>
      </c>
      <c r="H23" s="62">
        <v>1</v>
      </c>
      <c r="I23" s="62">
        <v>1</v>
      </c>
      <c r="J23" s="62">
        <v>1</v>
      </c>
      <c r="K23" s="62">
        <v>1</v>
      </c>
      <c r="L23" s="62">
        <v>1</v>
      </c>
      <c r="M23" s="63"/>
      <c r="N23" s="63"/>
      <c r="O23" s="63"/>
      <c r="P23" s="63"/>
    </row>
    <row r="24" spans="1:16" ht="15" x14ac:dyDescent="0.2">
      <c r="A24" s="58">
        <v>1</v>
      </c>
      <c r="B24" s="59">
        <v>1</v>
      </c>
      <c r="C24" s="59">
        <v>1</v>
      </c>
      <c r="D24" s="60">
        <v>0</v>
      </c>
      <c r="E24" s="61" t="s">
        <v>94</v>
      </c>
      <c r="F24" s="61" t="s">
        <v>95</v>
      </c>
      <c r="G24" s="61" t="s">
        <v>43</v>
      </c>
      <c r="H24" s="62">
        <v>1</v>
      </c>
      <c r="I24" s="62">
        <v>1</v>
      </c>
      <c r="J24" s="62">
        <v>1</v>
      </c>
      <c r="K24" s="62">
        <v>1</v>
      </c>
      <c r="L24" s="62">
        <v>1</v>
      </c>
      <c r="M24" s="63"/>
      <c r="N24" s="63"/>
      <c r="O24" s="63"/>
      <c r="P24" s="63"/>
    </row>
    <row r="25" spans="1:16" ht="15" x14ac:dyDescent="0.2">
      <c r="A25" s="58">
        <v>1</v>
      </c>
      <c r="B25" s="59">
        <v>1</v>
      </c>
      <c r="C25" s="59">
        <v>1</v>
      </c>
      <c r="D25" s="60">
        <v>0</v>
      </c>
      <c r="E25" s="61" t="s">
        <v>96</v>
      </c>
      <c r="F25" s="61" t="s">
        <v>97</v>
      </c>
      <c r="G25" s="61" t="s">
        <v>43</v>
      </c>
      <c r="H25" s="62">
        <v>1</v>
      </c>
      <c r="I25" s="62">
        <v>1</v>
      </c>
      <c r="J25" s="62">
        <v>1</v>
      </c>
      <c r="K25" s="62">
        <v>1</v>
      </c>
      <c r="L25" s="62">
        <v>1</v>
      </c>
      <c r="M25" s="63"/>
      <c r="N25" s="63"/>
      <c r="O25" s="63"/>
      <c r="P25" s="63"/>
    </row>
    <row r="26" spans="1:16" ht="15" x14ac:dyDescent="0.2">
      <c r="A26" s="58">
        <v>1</v>
      </c>
      <c r="B26" s="59">
        <v>1</v>
      </c>
      <c r="C26" s="59">
        <v>1</v>
      </c>
      <c r="D26" s="60">
        <v>0</v>
      </c>
      <c r="E26" s="61" t="s">
        <v>98</v>
      </c>
      <c r="F26" s="61" t="s">
        <v>99</v>
      </c>
      <c r="G26" s="61" t="s">
        <v>43</v>
      </c>
      <c r="H26" s="62">
        <v>1</v>
      </c>
      <c r="I26" s="62">
        <v>1</v>
      </c>
      <c r="J26" s="62">
        <v>1</v>
      </c>
      <c r="K26" s="62">
        <v>1</v>
      </c>
      <c r="L26" s="62">
        <v>1</v>
      </c>
      <c r="M26" s="63"/>
      <c r="N26" s="63"/>
      <c r="O26" s="63"/>
      <c r="P26" s="63"/>
    </row>
    <row r="27" spans="1:16" ht="15" x14ac:dyDescent="0.2">
      <c r="A27" s="58">
        <v>1</v>
      </c>
      <c r="B27" s="59">
        <v>1</v>
      </c>
      <c r="C27" s="59">
        <v>1</v>
      </c>
      <c r="D27" s="60">
        <v>0</v>
      </c>
      <c r="E27" s="61" t="s">
        <v>100</v>
      </c>
      <c r="F27" s="61" t="s">
        <v>101</v>
      </c>
      <c r="G27" s="61" t="s">
        <v>43</v>
      </c>
      <c r="H27" s="62">
        <v>1</v>
      </c>
      <c r="I27" s="62">
        <v>1</v>
      </c>
      <c r="J27" s="62">
        <v>1</v>
      </c>
      <c r="K27" s="62">
        <v>1</v>
      </c>
      <c r="L27" s="62">
        <v>1</v>
      </c>
      <c r="M27" s="63"/>
      <c r="N27" s="63"/>
      <c r="O27" s="63"/>
      <c r="P27" s="63"/>
    </row>
    <row r="28" spans="1:16" ht="15" x14ac:dyDescent="0.2">
      <c r="A28" s="58">
        <v>1</v>
      </c>
      <c r="B28" s="59">
        <v>1</v>
      </c>
      <c r="C28" s="59">
        <v>1</v>
      </c>
      <c r="D28" s="60">
        <v>0</v>
      </c>
      <c r="E28" s="61" t="s">
        <v>102</v>
      </c>
      <c r="F28" s="61" t="s">
        <v>103</v>
      </c>
      <c r="G28" s="61" t="s">
        <v>43</v>
      </c>
      <c r="H28" s="62">
        <v>1</v>
      </c>
      <c r="I28" s="62">
        <v>1</v>
      </c>
      <c r="J28" s="62">
        <v>1</v>
      </c>
      <c r="K28" s="62">
        <v>1</v>
      </c>
      <c r="L28" s="62">
        <v>1</v>
      </c>
      <c r="M28" s="63"/>
      <c r="N28" s="63"/>
      <c r="O28" s="63"/>
      <c r="P28" s="63"/>
    </row>
    <row r="29" spans="1:16" ht="15" x14ac:dyDescent="0.2">
      <c r="A29" s="58">
        <v>1</v>
      </c>
      <c r="B29" s="59">
        <v>1</v>
      </c>
      <c r="C29" s="59">
        <v>1</v>
      </c>
      <c r="D29" s="60">
        <v>0</v>
      </c>
      <c r="E29" s="61" t="s">
        <v>104</v>
      </c>
      <c r="F29" s="61" t="s">
        <v>105</v>
      </c>
      <c r="G29" s="61" t="s">
        <v>43</v>
      </c>
      <c r="H29" s="62">
        <v>1</v>
      </c>
      <c r="I29" s="62">
        <v>1</v>
      </c>
      <c r="J29" s="62">
        <v>1</v>
      </c>
      <c r="K29" s="62">
        <v>1</v>
      </c>
      <c r="L29" s="62">
        <v>1</v>
      </c>
      <c r="M29" s="63"/>
      <c r="N29" s="63"/>
      <c r="O29" s="63"/>
      <c r="P29" s="63"/>
    </row>
    <row r="30" spans="1:16" ht="15" x14ac:dyDescent="0.2">
      <c r="A30" s="58">
        <v>1</v>
      </c>
      <c r="B30" s="59">
        <v>1</v>
      </c>
      <c r="C30" s="59">
        <v>1</v>
      </c>
      <c r="D30" s="60">
        <v>0</v>
      </c>
      <c r="E30" s="61" t="s">
        <v>106</v>
      </c>
      <c r="F30" s="61" t="s">
        <v>107</v>
      </c>
      <c r="G30" s="61" t="s">
        <v>43</v>
      </c>
      <c r="H30" s="62">
        <v>1</v>
      </c>
      <c r="I30" s="62">
        <v>1</v>
      </c>
      <c r="J30" s="62">
        <v>1</v>
      </c>
      <c r="K30" s="62">
        <v>1</v>
      </c>
      <c r="L30" s="62">
        <v>1</v>
      </c>
      <c r="M30" s="63"/>
      <c r="N30" s="63"/>
      <c r="O30" s="63"/>
      <c r="P30" s="63"/>
    </row>
    <row r="31" spans="1:16" ht="15" x14ac:dyDescent="0.2">
      <c r="A31" s="58">
        <v>1</v>
      </c>
      <c r="B31" s="59">
        <v>1</v>
      </c>
      <c r="C31" s="59">
        <v>1</v>
      </c>
      <c r="D31" s="60">
        <v>0</v>
      </c>
      <c r="E31" s="61" t="s">
        <v>108</v>
      </c>
      <c r="F31" s="61" t="s">
        <v>109</v>
      </c>
      <c r="G31" s="61" t="s">
        <v>43</v>
      </c>
      <c r="H31" s="62">
        <v>1</v>
      </c>
      <c r="I31" s="62">
        <v>1</v>
      </c>
      <c r="J31" s="62">
        <v>1</v>
      </c>
      <c r="K31" s="62">
        <v>1</v>
      </c>
      <c r="L31" s="62">
        <v>1</v>
      </c>
      <c r="M31" s="63"/>
      <c r="N31" s="63"/>
      <c r="O31" s="63"/>
      <c r="P31" s="63"/>
    </row>
    <row r="32" spans="1:16" ht="15" x14ac:dyDescent="0.2">
      <c r="A32" s="58">
        <v>1</v>
      </c>
      <c r="B32" s="59">
        <v>1</v>
      </c>
      <c r="C32" s="59">
        <v>1</v>
      </c>
      <c r="D32" s="60">
        <v>0</v>
      </c>
      <c r="E32" s="61" t="s">
        <v>110</v>
      </c>
      <c r="F32" s="61" t="s">
        <v>111</v>
      </c>
      <c r="G32" s="61" t="s">
        <v>43</v>
      </c>
      <c r="H32" s="62">
        <v>1</v>
      </c>
      <c r="I32" s="62">
        <v>1</v>
      </c>
      <c r="J32" s="62">
        <v>1</v>
      </c>
      <c r="K32" s="62">
        <v>1</v>
      </c>
      <c r="L32" s="62">
        <v>1</v>
      </c>
      <c r="M32" s="63"/>
      <c r="N32" s="63"/>
      <c r="O32" s="63"/>
      <c r="P32" s="63"/>
    </row>
    <row r="33" spans="1:16" ht="15" x14ac:dyDescent="0.2">
      <c r="A33" s="58">
        <v>1</v>
      </c>
      <c r="B33" s="59">
        <v>1</v>
      </c>
      <c r="C33" s="59">
        <v>1</v>
      </c>
      <c r="D33" s="60">
        <v>0</v>
      </c>
      <c r="E33" s="61" t="s">
        <v>112</v>
      </c>
      <c r="F33" s="61" t="s">
        <v>113</v>
      </c>
      <c r="G33" s="61" t="s">
        <v>43</v>
      </c>
      <c r="H33" s="62">
        <v>1</v>
      </c>
      <c r="I33" s="62">
        <v>1</v>
      </c>
      <c r="J33" s="62">
        <v>1</v>
      </c>
      <c r="K33" s="62">
        <v>1</v>
      </c>
      <c r="L33" s="62">
        <v>1</v>
      </c>
      <c r="M33" s="63"/>
      <c r="N33" s="63"/>
      <c r="O33" s="63"/>
      <c r="P33" s="63"/>
    </row>
    <row r="34" spans="1:16" ht="15" x14ac:dyDescent="0.2">
      <c r="A34" s="58">
        <v>1</v>
      </c>
      <c r="B34" s="59">
        <v>1</v>
      </c>
      <c r="C34" s="59">
        <v>1</v>
      </c>
      <c r="D34" s="60">
        <v>0</v>
      </c>
      <c r="E34" s="61" t="s">
        <v>114</v>
      </c>
      <c r="F34" s="61" t="s">
        <v>115</v>
      </c>
      <c r="G34" s="61" t="s">
        <v>43</v>
      </c>
      <c r="H34" s="62">
        <v>1</v>
      </c>
      <c r="I34" s="62">
        <v>1</v>
      </c>
      <c r="J34" s="62">
        <v>1</v>
      </c>
      <c r="K34" s="62">
        <v>1</v>
      </c>
      <c r="L34" s="62">
        <v>1</v>
      </c>
      <c r="M34" s="63"/>
      <c r="N34" s="63"/>
      <c r="O34" s="63"/>
      <c r="P34" s="63"/>
    </row>
    <row r="35" spans="1:16" ht="15" x14ac:dyDescent="0.2">
      <c r="A35" s="58">
        <v>1</v>
      </c>
      <c r="B35" s="59">
        <v>1</v>
      </c>
      <c r="C35" s="59">
        <v>1</v>
      </c>
      <c r="D35" s="60">
        <v>0</v>
      </c>
      <c r="E35" s="61" t="s">
        <v>116</v>
      </c>
      <c r="F35" s="61" t="s">
        <v>117</v>
      </c>
      <c r="G35" s="61" t="s">
        <v>43</v>
      </c>
      <c r="H35" s="62">
        <v>1</v>
      </c>
      <c r="I35" s="62">
        <v>1</v>
      </c>
      <c r="J35" s="62">
        <v>1</v>
      </c>
      <c r="K35" s="62">
        <v>1</v>
      </c>
      <c r="L35" s="62">
        <v>1</v>
      </c>
      <c r="M35" s="63"/>
      <c r="N35" s="63"/>
      <c r="O35" s="63"/>
      <c r="P35" s="63"/>
    </row>
    <row r="36" spans="1:16" ht="14" x14ac:dyDescent="0.2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</row>
    <row r="37" spans="1:16" ht="14" x14ac:dyDescent="0.2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</row>
    <row r="38" spans="1:16" ht="14" x14ac:dyDescent="0.2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</row>
    <row r="39" spans="1:16" ht="14" x14ac:dyDescent="0.2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</row>
    <row r="40" spans="1:16" ht="14" x14ac:dyDescent="0.2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</row>
    <row r="41" spans="1:16" ht="14" x14ac:dyDescent="0.2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</row>
    <row r="42" spans="1:16" ht="14" x14ac:dyDescent="0.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</row>
    <row r="43" spans="1:16" ht="14" x14ac:dyDescent="0.2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</row>
    <row r="44" spans="1:16" ht="14" x14ac:dyDescent="0.2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</row>
    <row r="45" spans="1:16" ht="14" x14ac:dyDescent="0.2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</row>
    <row r="46" spans="1:16" ht="14" x14ac:dyDescent="0.2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</row>
    <row r="47" spans="1:16" ht="14" x14ac:dyDescent="0.2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</row>
    <row r="48" spans="1:16" ht="14" x14ac:dyDescent="0.2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</row>
    <row r="49" spans="1:16" ht="14" x14ac:dyDescent="0.2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</row>
    <row r="50" spans="1:16" ht="14" x14ac:dyDescent="0.2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</row>
    <row r="51" spans="1:16" ht="14" x14ac:dyDescent="0.2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</row>
    <row r="52" spans="1:16" ht="14" x14ac:dyDescent="0.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</row>
    <row r="53" spans="1:16" ht="14" x14ac:dyDescent="0.2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</row>
    <row r="54" spans="1:16" ht="14" x14ac:dyDescent="0.2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</row>
    <row r="55" spans="1:16" ht="14" x14ac:dyDescent="0.2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</row>
    <row r="56" spans="1:16" ht="14" x14ac:dyDescent="0.2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</row>
    <row r="57" spans="1:16" ht="14" x14ac:dyDescent="0.2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</row>
    <row r="58" spans="1:16" ht="14" x14ac:dyDescent="0.2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</row>
    <row r="59" spans="1:16" ht="14" x14ac:dyDescent="0.2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</row>
    <row r="60" spans="1:16" ht="14" x14ac:dyDescent="0.2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</row>
    <row r="61" spans="1:16" ht="14" x14ac:dyDescent="0.2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</row>
    <row r="62" spans="1:16" ht="14" x14ac:dyDescent="0.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</row>
    <row r="63" spans="1:16" ht="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</row>
    <row r="64" spans="1:16" ht="14" x14ac:dyDescent="0.2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</row>
    <row r="65" spans="1:16" ht="14" x14ac:dyDescent="0.2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</row>
    <row r="66" spans="1:16" ht="14" x14ac:dyDescent="0.2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</row>
    <row r="67" spans="1:16" ht="14" x14ac:dyDescent="0.2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</row>
    <row r="68" spans="1:16" ht="14" x14ac:dyDescent="0.2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</row>
    <row r="69" spans="1:16" ht="14" x14ac:dyDescent="0.2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</row>
    <row r="70" spans="1:16" ht="14" x14ac:dyDescent="0.2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</row>
    <row r="71" spans="1:16" ht="14" x14ac:dyDescent="0.2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</row>
    <row r="72" spans="1:16" ht="14" x14ac:dyDescent="0.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</row>
    <row r="73" spans="1:16" ht="14" x14ac:dyDescent="0.2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spans="1:16" ht="14" x14ac:dyDescent="0.2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spans="1:16" ht="14" x14ac:dyDescent="0.2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spans="1:16" ht="14" x14ac:dyDescent="0.2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spans="1:16" ht="14" x14ac:dyDescent="0.2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</row>
    <row r="78" spans="1:16" ht="14" x14ac:dyDescent="0.2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</row>
    <row r="79" spans="1:16" ht="14" x14ac:dyDescent="0.2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</row>
    <row r="80" spans="1:16" ht="14" x14ac:dyDescent="0.2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</row>
    <row r="81" spans="1:16" ht="14" x14ac:dyDescent="0.2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</row>
    <row r="82" spans="1:16" ht="14" x14ac:dyDescent="0.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</row>
    <row r="83" spans="1:16" ht="14" x14ac:dyDescent="0.2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</row>
    <row r="84" spans="1:16" ht="14" x14ac:dyDescent="0.2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</row>
    <row r="85" spans="1:16" ht="14" x14ac:dyDescent="0.2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</row>
    <row r="86" spans="1:16" ht="14" x14ac:dyDescent="0.2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</row>
    <row r="87" spans="1:16" ht="14" x14ac:dyDescent="0.2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</row>
    <row r="88" spans="1:16" ht="14" x14ac:dyDescent="0.2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</row>
    <row r="89" spans="1:16" ht="14" x14ac:dyDescent="0.2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</row>
    <row r="90" spans="1:16" ht="14" x14ac:dyDescent="0.2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</row>
    <row r="91" spans="1:16" ht="14" x14ac:dyDescent="0.2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4" t="s">
        <v>118</v>
      </c>
      <c r="N91" s="63"/>
      <c r="O91" s="63"/>
      <c r="P91" s="63"/>
    </row>
  </sheetData>
  <autoFilter ref="A1:L35" xr:uid="{968B772F-BD96-47AF-8881-80693760B54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3d717a-ca8e-4203-a8ae-567f8cfbc1a3">
      <Terms xmlns="http://schemas.microsoft.com/office/infopath/2007/PartnerControls"/>
    </lcf76f155ced4ddcb4097134ff3c332f>
    <TaxCatchAll xmlns="aa9bbbe1-47aa-4752-83ef-9bb200f6e5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AF0F4A807303449F423C6A00F21EAA" ma:contentTypeVersion="11" ma:contentTypeDescription="Crear nuevo documento." ma:contentTypeScope="" ma:versionID="19448016d53e009685217afa9f442be3">
  <xsd:schema xmlns:xsd="http://www.w3.org/2001/XMLSchema" xmlns:xs="http://www.w3.org/2001/XMLSchema" xmlns:p="http://schemas.microsoft.com/office/2006/metadata/properties" xmlns:ns2="c43d717a-ca8e-4203-a8ae-567f8cfbc1a3" xmlns:ns3="aa9bbbe1-47aa-4752-83ef-9bb200f6e565" targetNamespace="http://schemas.microsoft.com/office/2006/metadata/properties" ma:root="true" ma:fieldsID="e513416bfc3bedeb052a820490179d5f" ns2:_="" ns3:_="">
    <xsd:import namespace="c43d717a-ca8e-4203-a8ae-567f8cfbc1a3"/>
    <xsd:import namespace="aa9bbbe1-47aa-4752-83ef-9bb200f6e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d717a-ca8e-4203-a8ae-567f8cfbc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7db12f5-0b42-4371-95fa-500c53026c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bbbe1-47aa-4752-83ef-9bb200f6e5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b1b64b-610f-4a5e-9279-72439b199505}" ma:internalName="TaxCatchAll" ma:showField="CatchAllData" ma:web="aa9bbbe1-47aa-4752-83ef-9bb200f6e5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540FF0-81F1-41EB-BFDB-A3A6B42E3DB4}">
  <ds:schemaRefs>
    <ds:schemaRef ds:uri="http://schemas.microsoft.com/office/2006/metadata/properties"/>
    <ds:schemaRef ds:uri="http://schemas.microsoft.com/office/infopath/2007/PartnerControls"/>
    <ds:schemaRef ds:uri="c43d717a-ca8e-4203-a8ae-567f8cfbc1a3"/>
    <ds:schemaRef ds:uri="aa9bbbe1-47aa-4752-83ef-9bb200f6e565"/>
  </ds:schemaRefs>
</ds:datastoreItem>
</file>

<file path=customXml/itemProps2.xml><?xml version="1.0" encoding="utf-8"?>
<ds:datastoreItem xmlns:ds="http://schemas.openxmlformats.org/officeDocument/2006/customXml" ds:itemID="{87CD3CED-F679-47F2-9DE5-E96D5A0B9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3d717a-ca8e-4203-a8ae-567f8cfbc1a3"/>
    <ds:schemaRef ds:uri="aa9bbbe1-47aa-4752-83ef-9bb200f6e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A02027-D792-48A9-82B5-0CFB64700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NMCD_Entidad</vt:lpstr>
      <vt:lpstr>NMCD_DetalleCampos</vt:lpstr>
      <vt:lpstr>Afiliados</vt:lpstr>
      <vt:lpstr>F0005(Clasificacion cuentas)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Giraldo</dc:creator>
  <cp:keywords/>
  <dc:description/>
  <cp:lastModifiedBy>Office</cp:lastModifiedBy>
  <cp:revision/>
  <dcterms:created xsi:type="dcterms:W3CDTF">2024-12-10T16:30:07Z</dcterms:created>
  <dcterms:modified xsi:type="dcterms:W3CDTF">2026-06-10T02:32:36Z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0x01010004AF0F4A807303449F423C6A00F21EAA</vt:lpwstr>
  </property>
</Properties>
</file>